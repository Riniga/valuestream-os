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issesR\github\riniga\valuestream-os\docs\"/>
    </mc:Choice>
  </mc:AlternateContent>
  <xr:revisionPtr revIDLastSave="0" documentId="8_{94804027-0EB9-423E-A02E-0B3E33970B7B}" xr6:coauthVersionLast="47" xr6:coauthVersionMax="47" xr10:uidLastSave="{00000000-0000-0000-0000-000000000000}"/>
  <bookViews>
    <workbookView xWindow="-120" yWindow="-120" windowWidth="51840" windowHeight="21120" activeTab="1" xr2:uid="{D9CBA9EF-381C-544E-AD52-B83C1CF2E92A}"/>
  </bookViews>
  <sheets>
    <sheet name="Sheet4" sheetId="6" r:id="rId1"/>
    <sheet name="Artifacts" sheetId="2" r:id="rId2"/>
    <sheet name="SOP" sheetId="8" r:id="rId3"/>
    <sheet name="Sheet5" sheetId="7" r:id="rId4"/>
    <sheet name="Roles" sheetId="3" r:id="rId5"/>
    <sheet name="Sheet1" sheetId="1" r:id="rId6"/>
  </sheets>
  <definedNames>
    <definedName name="ExternalData_1" localSheetId="1" hidden="1">Artifacts!$A$1:$C$208</definedName>
    <definedName name="ExternalData_1" localSheetId="4" hidden="1">'Roles'!$A$1:$C$196</definedName>
    <definedName name="ExternalData_1" localSheetId="2" hidden="1">SOP!$A$1:$C$46</definedName>
  </definedNames>
  <calcPr calcId="191029"/>
  <pivotCaches>
    <pivotCache cacheId="2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H2" i="2" a="1"/>
  <c r="H2" i="2" s="1"/>
  <c r="H3" i="2" a="1"/>
  <c r="H3" i="2" s="1"/>
  <c r="H4" i="2" a="1"/>
  <c r="H4" i="2" s="1"/>
  <c r="H5" i="2" a="1"/>
  <c r="H5" i="2" s="1"/>
  <c r="H6" i="2" a="1"/>
  <c r="H6" i="2" s="1"/>
  <c r="H7" i="2" a="1"/>
  <c r="H7" i="2" s="1"/>
  <c r="H8" i="2" a="1"/>
  <c r="H8" i="2" s="1"/>
  <c r="H9" i="2" a="1"/>
  <c r="H9" i="2" s="1"/>
  <c r="H10" i="2" a="1"/>
  <c r="H10" i="2" s="1"/>
  <c r="H11" i="2" a="1"/>
  <c r="H11" i="2" s="1"/>
  <c r="H12" i="2" a="1"/>
  <c r="H12" i="2" s="1"/>
  <c r="H13" i="2" a="1"/>
  <c r="H13" i="2" s="1"/>
  <c r="H14" i="2" a="1"/>
  <c r="H14" i="2" s="1"/>
  <c r="H15" i="2" a="1"/>
  <c r="H15" i="2" s="1"/>
  <c r="H16" i="2" a="1"/>
  <c r="H16" i="2" s="1"/>
  <c r="H17" i="2" a="1"/>
  <c r="H17" i="2" s="1"/>
  <c r="H18" i="2" a="1"/>
  <c r="H18" i="2" s="1"/>
  <c r="H19" i="2" a="1"/>
  <c r="H19" i="2" s="1"/>
  <c r="H20" i="2" a="1"/>
  <c r="H20" i="2" s="1"/>
  <c r="H21" i="2" a="1"/>
  <c r="H21" i="2" s="1"/>
  <c r="H22" i="2" a="1"/>
  <c r="H22" i="2" s="1"/>
  <c r="H23" i="2" a="1"/>
  <c r="H23" i="2" s="1"/>
  <c r="H24" i="2" a="1"/>
  <c r="H24" i="2" s="1"/>
  <c r="H25" i="2" a="1"/>
  <c r="H25" i="2" s="1"/>
  <c r="H26" i="2" a="1"/>
  <c r="H26" i="2" s="1"/>
  <c r="H27" i="2" a="1"/>
  <c r="H27" i="2" s="1"/>
  <c r="H28" i="2" a="1"/>
  <c r="H28" i="2" s="1"/>
  <c r="H29" i="2" a="1"/>
  <c r="H29" i="2" s="1"/>
  <c r="H30" i="2" a="1"/>
  <c r="H30" i="2" s="1"/>
  <c r="H31" i="2" a="1"/>
  <c r="H31" i="2" s="1"/>
  <c r="H32" i="2" a="1"/>
  <c r="H32" i="2" s="1"/>
  <c r="H33" i="2" a="1"/>
  <c r="H33" i="2" s="1"/>
  <c r="H34" i="2" a="1"/>
  <c r="H34" i="2" s="1"/>
  <c r="H35" i="2" a="1"/>
  <c r="H35" i="2" s="1"/>
  <c r="H36" i="2" a="1"/>
  <c r="H36" i="2" s="1"/>
  <c r="H37" i="2" a="1"/>
  <c r="H37" i="2" s="1"/>
  <c r="H38" i="2" a="1"/>
  <c r="H38" i="2" s="1"/>
  <c r="H39" i="2" a="1"/>
  <c r="H39" i="2" s="1"/>
  <c r="H40" i="2" a="1"/>
  <c r="H40" i="2" s="1"/>
  <c r="H41" i="2" a="1"/>
  <c r="H41" i="2" s="1"/>
  <c r="H42" i="2" a="1"/>
  <c r="H42" i="2" s="1"/>
  <c r="H43" i="2" a="1"/>
  <c r="H43" i="2" s="1"/>
  <c r="H44" i="2" a="1"/>
  <c r="H44" i="2" s="1"/>
  <c r="H45" i="2" a="1"/>
  <c r="H45" i="2" s="1"/>
  <c r="H46" i="2" a="1"/>
  <c r="H46" i="2" s="1"/>
  <c r="H47" i="2" a="1"/>
  <c r="H47" i="2" s="1"/>
  <c r="H48" i="2" a="1"/>
  <c r="H48" i="2" s="1"/>
  <c r="H49" i="2" a="1"/>
  <c r="H49" i="2" s="1"/>
  <c r="H50" i="2" a="1"/>
  <c r="H50" i="2" s="1"/>
  <c r="H51" i="2" a="1"/>
  <c r="H51" i="2" s="1"/>
  <c r="H52" i="2" a="1"/>
  <c r="H52" i="2" s="1"/>
  <c r="H53" i="2" a="1"/>
  <c r="H53" i="2" s="1"/>
  <c r="H54" i="2" a="1"/>
  <c r="H54" i="2" s="1"/>
  <c r="H55" i="2" a="1"/>
  <c r="H55" i="2" s="1"/>
  <c r="H56" i="2" a="1"/>
  <c r="H56" i="2" s="1"/>
  <c r="H57" i="2" a="1"/>
  <c r="H57" i="2" s="1"/>
  <c r="H58" i="2" a="1"/>
  <c r="H58" i="2" s="1"/>
  <c r="H59" i="2" a="1"/>
  <c r="H59" i="2" s="1"/>
  <c r="H60" i="2" a="1"/>
  <c r="H60" i="2" s="1"/>
  <c r="H61" i="2" a="1"/>
  <c r="H61" i="2" s="1"/>
  <c r="H62" i="2" a="1"/>
  <c r="H62" i="2" s="1"/>
  <c r="H63" i="2" a="1"/>
  <c r="H63" i="2" s="1"/>
  <c r="H64" i="2" a="1"/>
  <c r="H64" i="2" s="1"/>
  <c r="H65" i="2" a="1"/>
  <c r="H65" i="2" s="1"/>
  <c r="H66" i="2" a="1"/>
  <c r="H66" i="2" s="1"/>
  <c r="H67" i="2" a="1"/>
  <c r="H67" i="2" s="1"/>
  <c r="H68" i="2" a="1"/>
  <c r="H68" i="2" s="1"/>
  <c r="H69" i="2" a="1"/>
  <c r="H69" i="2" s="1"/>
  <c r="H70" i="2" a="1"/>
  <c r="H70" i="2" s="1"/>
  <c r="H71" i="2" a="1"/>
  <c r="H71" i="2" s="1"/>
  <c r="H72" i="2" a="1"/>
  <c r="H72" i="2" s="1"/>
  <c r="H73" i="2" a="1"/>
  <c r="H73" i="2" s="1"/>
  <c r="H74" i="2" a="1"/>
  <c r="H74" i="2" s="1"/>
  <c r="H75" i="2" a="1"/>
  <c r="H75" i="2" s="1"/>
  <c r="H76" i="2" a="1"/>
  <c r="H76" i="2" s="1"/>
  <c r="H77" i="2" a="1"/>
  <c r="H77" i="2" s="1"/>
  <c r="H78" i="2" a="1"/>
  <c r="H78" i="2" s="1"/>
  <c r="H79" i="2" a="1"/>
  <c r="H79" i="2" s="1"/>
  <c r="H80" i="2" a="1"/>
  <c r="H80" i="2" s="1"/>
  <c r="H81" i="2" a="1"/>
  <c r="H81" i="2" s="1"/>
  <c r="H82" i="2" a="1"/>
  <c r="H82" i="2" s="1"/>
  <c r="H83" i="2" a="1"/>
  <c r="H83" i="2" s="1"/>
  <c r="H84" i="2" a="1"/>
  <c r="H84" i="2" s="1"/>
  <c r="H85" i="2" a="1"/>
  <c r="H85" i="2" s="1"/>
  <c r="H86" i="2" a="1"/>
  <c r="H86" i="2" s="1"/>
  <c r="H87" i="2" a="1"/>
  <c r="H87" i="2" s="1"/>
  <c r="H88" i="2" a="1"/>
  <c r="H88" i="2" s="1"/>
  <c r="H89" i="2" a="1"/>
  <c r="H89" i="2" s="1"/>
  <c r="H90" i="2" a="1"/>
  <c r="H90" i="2" s="1"/>
  <c r="H91" i="2" a="1"/>
  <c r="H91" i="2" s="1"/>
  <c r="H92" i="2" a="1"/>
  <c r="H92" i="2" s="1"/>
  <c r="H93" i="2" a="1"/>
  <c r="H93" i="2" s="1"/>
  <c r="H94" i="2" a="1"/>
  <c r="H94" i="2" s="1"/>
  <c r="H95" i="2" a="1"/>
  <c r="H95" i="2" s="1"/>
  <c r="H96" i="2" a="1"/>
  <c r="H96" i="2" s="1"/>
  <c r="H97" i="2" a="1"/>
  <c r="H97" i="2" s="1"/>
  <c r="H98" i="2" a="1"/>
  <c r="H98" i="2" s="1"/>
  <c r="H99" i="2" a="1"/>
  <c r="H99" i="2" s="1"/>
  <c r="H100" i="2" a="1"/>
  <c r="H100" i="2" s="1"/>
  <c r="H101" i="2" a="1"/>
  <c r="H101" i="2" s="1"/>
  <c r="H102" i="2" a="1"/>
  <c r="H102" i="2" s="1"/>
  <c r="H103" i="2" a="1"/>
  <c r="H103" i="2" s="1"/>
  <c r="H104" i="2" a="1"/>
  <c r="H104" i="2" s="1"/>
  <c r="H105" i="2" a="1"/>
  <c r="H105" i="2" s="1"/>
  <c r="H106" i="2" a="1"/>
  <c r="H106" i="2" s="1"/>
  <c r="H107" i="2" a="1"/>
  <c r="H107" i="2" s="1"/>
  <c r="H108" i="2" a="1"/>
  <c r="H108" i="2" s="1"/>
  <c r="H109" i="2" a="1"/>
  <c r="H109" i="2" s="1"/>
  <c r="H110" i="2" a="1"/>
  <c r="H110" i="2" s="1"/>
  <c r="H111" i="2" a="1"/>
  <c r="H111" i="2" s="1"/>
  <c r="H112" i="2" a="1"/>
  <c r="H112" i="2" s="1"/>
  <c r="H113" i="2" a="1"/>
  <c r="H113" i="2" s="1"/>
  <c r="H114" i="2" a="1"/>
  <c r="H114" i="2" s="1"/>
  <c r="H115" i="2" a="1"/>
  <c r="H115" i="2" s="1"/>
  <c r="H116" i="2" a="1"/>
  <c r="H116" i="2" s="1"/>
  <c r="H117" i="2" a="1"/>
  <c r="H117" i="2" s="1"/>
  <c r="H118" i="2" a="1"/>
  <c r="H118" i="2" s="1"/>
  <c r="H119" i="2" a="1"/>
  <c r="H119" i="2" s="1"/>
  <c r="H120" i="2" a="1"/>
  <c r="H120" i="2" s="1"/>
  <c r="H121" i="2" a="1"/>
  <c r="H121" i="2" s="1"/>
  <c r="H122" i="2" a="1"/>
  <c r="H122" i="2" s="1"/>
  <c r="H123" i="2" a="1"/>
  <c r="H123" i="2" s="1"/>
  <c r="H124" i="2" a="1"/>
  <c r="H124" i="2" s="1"/>
  <c r="H125" i="2" a="1"/>
  <c r="H125" i="2" s="1"/>
  <c r="H126" i="2" a="1"/>
  <c r="H126" i="2" s="1"/>
  <c r="H127" i="2" a="1"/>
  <c r="H127" i="2" s="1"/>
  <c r="H128" i="2" a="1"/>
  <c r="H128" i="2" s="1"/>
  <c r="H129" i="2" a="1"/>
  <c r="H129" i="2" s="1"/>
  <c r="H130" i="2" a="1"/>
  <c r="H130" i="2" s="1"/>
  <c r="H131" i="2" a="1"/>
  <c r="H131" i="2" s="1"/>
  <c r="H132" i="2" a="1"/>
  <c r="H132" i="2" s="1"/>
  <c r="H133" i="2" a="1"/>
  <c r="H133" i="2" s="1"/>
  <c r="H134" i="2" a="1"/>
  <c r="H134" i="2" s="1"/>
  <c r="H135" i="2" a="1"/>
  <c r="H135" i="2" s="1"/>
  <c r="H136" i="2" a="1"/>
  <c r="H136" i="2" s="1"/>
  <c r="H137" i="2" a="1"/>
  <c r="H137" i="2" s="1"/>
  <c r="H138" i="2" a="1"/>
  <c r="H138" i="2" s="1"/>
  <c r="H139" i="2" a="1"/>
  <c r="H139" i="2" s="1"/>
  <c r="H140" i="2" a="1"/>
  <c r="H140" i="2" s="1"/>
  <c r="H141" i="2" a="1"/>
  <c r="H141" i="2" s="1"/>
  <c r="H142" i="2" a="1"/>
  <c r="H142" i="2" s="1"/>
  <c r="H143" i="2" a="1"/>
  <c r="H143" i="2" s="1"/>
  <c r="H144" i="2" a="1"/>
  <c r="H144" i="2" s="1"/>
  <c r="H145" i="2" a="1"/>
  <c r="H145" i="2" s="1"/>
  <c r="H146" i="2" a="1"/>
  <c r="H146" i="2" s="1"/>
  <c r="H147" i="2" a="1"/>
  <c r="H147" i="2" s="1"/>
  <c r="H148" i="2" a="1"/>
  <c r="H148" i="2" s="1"/>
  <c r="H149" i="2" a="1"/>
  <c r="H149" i="2" s="1"/>
  <c r="H150" i="2" a="1"/>
  <c r="H150" i="2" s="1"/>
  <c r="H151" i="2" a="1"/>
  <c r="H151" i="2" s="1"/>
  <c r="H152" i="2" a="1"/>
  <c r="H152" i="2" s="1"/>
  <c r="H153" i="2" a="1"/>
  <c r="H153" i="2" s="1"/>
  <c r="H154" i="2" a="1"/>
  <c r="H154" i="2" s="1"/>
  <c r="H155" i="2" a="1"/>
  <c r="H155" i="2" s="1"/>
  <c r="H156" i="2" a="1"/>
  <c r="H156" i="2" s="1"/>
  <c r="H157" i="2" a="1"/>
  <c r="H157" i="2" s="1"/>
  <c r="H158" i="2" a="1"/>
  <c r="H158" i="2" s="1"/>
  <c r="H159" i="2" a="1"/>
  <c r="H159" i="2" s="1"/>
  <c r="H160" i="2" a="1"/>
  <c r="H160" i="2" s="1"/>
  <c r="H161" i="2" a="1"/>
  <c r="H161" i="2" s="1"/>
  <c r="H162" i="2" a="1"/>
  <c r="H162" i="2" s="1"/>
  <c r="H163" i="2" a="1"/>
  <c r="H163" i="2" s="1"/>
  <c r="H164" i="2" a="1"/>
  <c r="H164" i="2" s="1"/>
  <c r="H165" i="2" a="1"/>
  <c r="H165" i="2" s="1"/>
  <c r="H166" i="2" a="1"/>
  <c r="H166" i="2" s="1"/>
  <c r="H167" i="2" a="1"/>
  <c r="H167" i="2" s="1"/>
  <c r="H168" i="2" a="1"/>
  <c r="H168" i="2" s="1"/>
  <c r="H169" i="2" a="1"/>
  <c r="H169" i="2" s="1"/>
  <c r="H170" i="2" a="1"/>
  <c r="H170" i="2" s="1"/>
  <c r="H171" i="2" a="1"/>
  <c r="H171" i="2" s="1"/>
  <c r="H172" i="2" a="1"/>
  <c r="H172" i="2" s="1"/>
  <c r="H173" i="2" a="1"/>
  <c r="H173" i="2" s="1"/>
  <c r="H174" i="2" a="1"/>
  <c r="H174" i="2" s="1"/>
  <c r="H175" i="2" a="1"/>
  <c r="H175" i="2" s="1"/>
  <c r="H176" i="2" a="1"/>
  <c r="H176" i="2" s="1"/>
  <c r="H177" i="2" a="1"/>
  <c r="H177" i="2" s="1"/>
  <c r="H178" i="2" a="1"/>
  <c r="H178" i="2" s="1"/>
  <c r="H179" i="2" a="1"/>
  <c r="H179" i="2" s="1"/>
  <c r="H180" i="2" a="1"/>
  <c r="H180" i="2" s="1"/>
  <c r="H181" i="2" a="1"/>
  <c r="H181" i="2" s="1"/>
  <c r="H182" i="2" a="1"/>
  <c r="H182" i="2" s="1"/>
  <c r="H183" i="2" a="1"/>
  <c r="H183" i="2" s="1"/>
  <c r="H184" i="2" a="1"/>
  <c r="H184" i="2" s="1"/>
  <c r="H185" i="2" a="1"/>
  <c r="H185" i="2" s="1"/>
  <c r="H186" i="2" a="1"/>
  <c r="H186" i="2" s="1"/>
  <c r="H187" i="2" a="1"/>
  <c r="H187" i="2" s="1"/>
  <c r="H188" i="2" a="1"/>
  <c r="H188" i="2" s="1"/>
  <c r="H189" i="2" a="1"/>
  <c r="H189" i="2" s="1"/>
  <c r="H190" i="2" a="1"/>
  <c r="H190" i="2" s="1"/>
  <c r="H191" i="2" a="1"/>
  <c r="H191" i="2" s="1"/>
  <c r="H192" i="2" a="1"/>
  <c r="H192" i="2" s="1"/>
  <c r="H193" i="2" a="1"/>
  <c r="H193" i="2" s="1"/>
  <c r="H194" i="2" a="1"/>
  <c r="H194" i="2" s="1"/>
  <c r="H195" i="2" a="1"/>
  <c r="H195" i="2" s="1"/>
  <c r="H196" i="2" a="1"/>
  <c r="H196" i="2" s="1"/>
  <c r="H197" i="2" a="1"/>
  <c r="H197" i="2" s="1"/>
  <c r="H198" i="2" a="1"/>
  <c r="H198" i="2" s="1"/>
  <c r="H199" i="2" a="1"/>
  <c r="H199" i="2" s="1"/>
  <c r="H200" i="2" a="1"/>
  <c r="H200" i="2" s="1"/>
  <c r="H201" i="2" a="1"/>
  <c r="H201" i="2" s="1"/>
  <c r="H202" i="2" a="1"/>
  <c r="H202" i="2" s="1"/>
  <c r="H203" i="2" a="1"/>
  <c r="H203" i="2" s="1"/>
  <c r="H204" i="2" a="1"/>
  <c r="H204" i="2" s="1"/>
  <c r="H205" i="2" a="1"/>
  <c r="H205" i="2" s="1"/>
  <c r="H206" i="2" a="1"/>
  <c r="H206" i="2" s="1"/>
  <c r="H207" i="2" a="1"/>
  <c r="H207" i="2" s="1"/>
  <c r="H208" i="2" a="1"/>
  <c r="H208" i="2" s="1"/>
  <c r="G2" i="2" a="1"/>
  <c r="G2" i="2" s="1"/>
  <c r="G3" i="2" a="1"/>
  <c r="G3" i="2" s="1"/>
  <c r="G4" i="2" a="1"/>
  <c r="G4" i="2" s="1"/>
  <c r="G5" i="2" a="1"/>
  <c r="G5" i="2" s="1"/>
  <c r="G6" i="2" a="1"/>
  <c r="G6" i="2" s="1"/>
  <c r="G7" i="2" a="1"/>
  <c r="G7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14" i="2" a="1"/>
  <c r="G14" i="2" s="1"/>
  <c r="G15" i="2" a="1"/>
  <c r="G15" i="2" s="1"/>
  <c r="G16" i="2" a="1"/>
  <c r="G16" i="2" s="1"/>
  <c r="G17" i="2" a="1"/>
  <c r="G17" i="2" s="1"/>
  <c r="G18" i="2" a="1"/>
  <c r="G18" i="2" s="1"/>
  <c r="G19" i="2" a="1"/>
  <c r="G19" i="2" s="1"/>
  <c r="G20" i="2" a="1"/>
  <c r="G20" i="2" s="1"/>
  <c r="G21" i="2" a="1"/>
  <c r="G21" i="2" s="1"/>
  <c r="G22" i="2" a="1"/>
  <c r="G22" i="2" s="1"/>
  <c r="G23" i="2" a="1"/>
  <c r="G23" i="2" s="1"/>
  <c r="G24" i="2" a="1"/>
  <c r="G24" i="2" s="1"/>
  <c r="G25" i="2" a="1"/>
  <c r="G25" i="2" s="1"/>
  <c r="G26" i="2" a="1"/>
  <c r="G26" i="2" s="1"/>
  <c r="G27" i="2" a="1"/>
  <c r="G27" i="2" s="1"/>
  <c r="G28" i="2" a="1"/>
  <c r="G28" i="2" s="1"/>
  <c r="G29" i="2" a="1"/>
  <c r="G29" i="2" s="1"/>
  <c r="G30" i="2" a="1"/>
  <c r="G30" i="2" s="1"/>
  <c r="G31" i="2" a="1"/>
  <c r="G31" i="2" s="1"/>
  <c r="G32" i="2" a="1"/>
  <c r="G32" i="2" s="1"/>
  <c r="G33" i="2" a="1"/>
  <c r="G33" i="2" s="1"/>
  <c r="G34" i="2" a="1"/>
  <c r="G34" i="2" s="1"/>
  <c r="G35" i="2" a="1"/>
  <c r="G35" i="2" s="1"/>
  <c r="G36" i="2" a="1"/>
  <c r="G36" i="2" s="1"/>
  <c r="G37" i="2" a="1"/>
  <c r="G37" i="2" s="1"/>
  <c r="G38" i="2" a="1"/>
  <c r="G38" i="2" s="1"/>
  <c r="G39" i="2" a="1"/>
  <c r="G39" i="2" s="1"/>
  <c r="G40" i="2" a="1"/>
  <c r="G40" i="2" s="1"/>
  <c r="G41" i="2" a="1"/>
  <c r="G41" i="2" s="1"/>
  <c r="G42" i="2" a="1"/>
  <c r="G42" i="2" s="1"/>
  <c r="G43" i="2" a="1"/>
  <c r="G43" i="2" s="1"/>
  <c r="G44" i="2" a="1"/>
  <c r="G44" i="2" s="1"/>
  <c r="G45" i="2" a="1"/>
  <c r="G45" i="2" s="1"/>
  <c r="G46" i="2" a="1"/>
  <c r="G46" i="2" s="1"/>
  <c r="G47" i="2" a="1"/>
  <c r="G47" i="2" s="1"/>
  <c r="G48" i="2" a="1"/>
  <c r="G48" i="2" s="1"/>
  <c r="G49" i="2" a="1"/>
  <c r="G49" i="2" s="1"/>
  <c r="G50" i="2" a="1"/>
  <c r="G50" i="2" s="1"/>
  <c r="G51" i="2" a="1"/>
  <c r="G51" i="2" s="1"/>
  <c r="G52" i="2" a="1"/>
  <c r="G52" i="2" s="1"/>
  <c r="G53" i="2" a="1"/>
  <c r="G53" i="2"/>
  <c r="G54" i="2" a="1"/>
  <c r="G54" i="2" s="1"/>
  <c r="G55" i="2" a="1"/>
  <c r="G55" i="2" s="1"/>
  <c r="G56" i="2" a="1"/>
  <c r="G56" i="2" s="1"/>
  <c r="G57" i="2" a="1"/>
  <c r="G57" i="2"/>
  <c r="G58" i="2" a="1"/>
  <c r="G58" i="2" s="1"/>
  <c r="G59" i="2" a="1"/>
  <c r="G59" i="2" s="1"/>
  <c r="G60" i="2" a="1"/>
  <c r="G60" i="2" s="1"/>
  <c r="G61" i="2" a="1"/>
  <c r="G61" i="2" s="1"/>
  <c r="G62" i="2" a="1"/>
  <c r="G62" i="2" s="1"/>
  <c r="G63" i="2" a="1"/>
  <c r="G63" i="2" s="1"/>
  <c r="G64" i="2" a="1"/>
  <c r="G64" i="2" s="1"/>
  <c r="G65" i="2" a="1"/>
  <c r="G65" i="2" s="1"/>
  <c r="G66" i="2" a="1"/>
  <c r="G66" i="2" s="1"/>
  <c r="G67" i="2" a="1"/>
  <c r="G67" i="2" s="1"/>
  <c r="G68" i="2" a="1"/>
  <c r="G68" i="2" s="1"/>
  <c r="G69" i="2" a="1"/>
  <c r="G69" i="2" s="1"/>
  <c r="G70" i="2" a="1"/>
  <c r="G70" i="2" s="1"/>
  <c r="G71" i="2" a="1"/>
  <c r="G71" i="2" s="1"/>
  <c r="G72" i="2" a="1"/>
  <c r="G72" i="2" s="1"/>
  <c r="G73" i="2" a="1"/>
  <c r="G73" i="2" s="1"/>
  <c r="G74" i="2" a="1"/>
  <c r="G74" i="2" s="1"/>
  <c r="G75" i="2" a="1"/>
  <c r="G75" i="2" s="1"/>
  <c r="G76" i="2" a="1"/>
  <c r="G76" i="2" s="1"/>
  <c r="G77" i="2" a="1"/>
  <c r="G77" i="2" s="1"/>
  <c r="G78" i="2" a="1"/>
  <c r="G78" i="2" s="1"/>
  <c r="G79" i="2" a="1"/>
  <c r="G79" i="2" s="1"/>
  <c r="G80" i="2" a="1"/>
  <c r="G80" i="2" s="1"/>
  <c r="G81" i="2" a="1"/>
  <c r="G81" i="2" s="1"/>
  <c r="G82" i="2" a="1"/>
  <c r="G82" i="2" s="1"/>
  <c r="G83" i="2" a="1"/>
  <c r="G83" i="2" s="1"/>
  <c r="G84" i="2" a="1"/>
  <c r="G84" i="2" s="1"/>
  <c r="G85" i="2" a="1"/>
  <c r="G85" i="2" s="1"/>
  <c r="G86" i="2" a="1"/>
  <c r="G86" i="2" s="1"/>
  <c r="G87" i="2" a="1"/>
  <c r="G87" i="2" s="1"/>
  <c r="G88" i="2" a="1"/>
  <c r="G88" i="2" s="1"/>
  <c r="G89" i="2" a="1"/>
  <c r="G89" i="2" s="1"/>
  <c r="G90" i="2" a="1"/>
  <c r="G90" i="2" s="1"/>
  <c r="G91" i="2" a="1"/>
  <c r="G91" i="2" s="1"/>
  <c r="G92" i="2" a="1"/>
  <c r="G92" i="2" s="1"/>
  <c r="G93" i="2" a="1"/>
  <c r="G93" i="2" s="1"/>
  <c r="G94" i="2" a="1"/>
  <c r="G94" i="2" s="1"/>
  <c r="G95" i="2" a="1"/>
  <c r="G95" i="2" s="1"/>
  <c r="G96" i="2" a="1"/>
  <c r="G96" i="2" s="1"/>
  <c r="G97" i="2" a="1"/>
  <c r="G97" i="2" s="1"/>
  <c r="G98" i="2" a="1"/>
  <c r="G98" i="2" s="1"/>
  <c r="G99" i="2" a="1"/>
  <c r="G99" i="2" s="1"/>
  <c r="G100" i="2" a="1"/>
  <c r="G100" i="2" s="1"/>
  <c r="G101" i="2" a="1"/>
  <c r="G101" i="2" s="1"/>
  <c r="G102" i="2" a="1"/>
  <c r="G102" i="2" s="1"/>
  <c r="G103" i="2" a="1"/>
  <c r="G103" i="2" s="1"/>
  <c r="G104" i="2" a="1"/>
  <c r="G104" i="2" s="1"/>
  <c r="G105" i="2" a="1"/>
  <c r="G105" i="2" s="1"/>
  <c r="G106" i="2" a="1"/>
  <c r="G106" i="2" s="1"/>
  <c r="G107" i="2" a="1"/>
  <c r="G107" i="2" s="1"/>
  <c r="G108" i="2" a="1"/>
  <c r="G108" i="2" s="1"/>
  <c r="G109" i="2" a="1"/>
  <c r="G109" i="2" s="1"/>
  <c r="G110" i="2" a="1"/>
  <c r="G110" i="2" s="1"/>
  <c r="G111" i="2" a="1"/>
  <c r="G111" i="2" s="1"/>
  <c r="G112" i="2" a="1"/>
  <c r="G112" i="2" s="1"/>
  <c r="G113" i="2" a="1"/>
  <c r="G113" i="2" s="1"/>
  <c r="G114" i="2" a="1"/>
  <c r="G114" i="2" s="1"/>
  <c r="G115" i="2" a="1"/>
  <c r="G115" i="2" s="1"/>
  <c r="G116" i="2" a="1"/>
  <c r="G116" i="2" s="1"/>
  <c r="G117" i="2" a="1"/>
  <c r="G117" i="2"/>
  <c r="G118" i="2" a="1"/>
  <c r="G118" i="2" s="1"/>
  <c r="G119" i="2" a="1"/>
  <c r="G119" i="2" s="1"/>
  <c r="G120" i="2" a="1"/>
  <c r="G120" i="2" s="1"/>
  <c r="G121" i="2" a="1"/>
  <c r="G121" i="2" s="1"/>
  <c r="G122" i="2" a="1"/>
  <c r="G122" i="2" s="1"/>
  <c r="G123" i="2" a="1"/>
  <c r="G123" i="2" s="1"/>
  <c r="G124" i="2" a="1"/>
  <c r="G124" i="2" s="1"/>
  <c r="G125" i="2" a="1"/>
  <c r="G125" i="2" s="1"/>
  <c r="G126" i="2" a="1"/>
  <c r="G126" i="2" s="1"/>
  <c r="G127" i="2" a="1"/>
  <c r="G127" i="2" s="1"/>
  <c r="G128" i="2" a="1"/>
  <c r="G128" i="2" s="1"/>
  <c r="G129" i="2" a="1"/>
  <c r="G129" i="2" s="1"/>
  <c r="G130" i="2" a="1"/>
  <c r="G130" i="2" s="1"/>
  <c r="G131" i="2" a="1"/>
  <c r="G131" i="2" s="1"/>
  <c r="G132" i="2" a="1"/>
  <c r="G132" i="2" s="1"/>
  <c r="G133" i="2" a="1"/>
  <c r="G133" i="2" s="1"/>
  <c r="G134" i="2" a="1"/>
  <c r="G134" i="2" s="1"/>
  <c r="G135" i="2" a="1"/>
  <c r="G135" i="2" s="1"/>
  <c r="G136" i="2" a="1"/>
  <c r="G136" i="2" s="1"/>
  <c r="G137" i="2" a="1"/>
  <c r="G137" i="2" s="1"/>
  <c r="G138" i="2" a="1"/>
  <c r="G138" i="2" s="1"/>
  <c r="G139" i="2" a="1"/>
  <c r="G139" i="2" s="1"/>
  <c r="G140" i="2" a="1"/>
  <c r="G140" i="2" s="1"/>
  <c r="G141" i="2" a="1"/>
  <c r="G141" i="2" s="1"/>
  <c r="G142" i="2" a="1"/>
  <c r="G142" i="2" s="1"/>
  <c r="G143" i="2" a="1"/>
  <c r="G143" i="2" s="1"/>
  <c r="G144" i="2" a="1"/>
  <c r="G144" i="2" s="1"/>
  <c r="G145" i="2" a="1"/>
  <c r="G145" i="2" s="1"/>
  <c r="G146" i="2" a="1"/>
  <c r="G146" i="2" s="1"/>
  <c r="G147" i="2" a="1"/>
  <c r="G147" i="2" s="1"/>
  <c r="G148" i="2" a="1"/>
  <c r="G148" i="2" s="1"/>
  <c r="G149" i="2" a="1"/>
  <c r="G149" i="2" s="1"/>
  <c r="G150" i="2" a="1"/>
  <c r="G150" i="2" s="1"/>
  <c r="G151" i="2" a="1"/>
  <c r="G151" i="2" s="1"/>
  <c r="G152" i="2" a="1"/>
  <c r="G152" i="2" s="1"/>
  <c r="G153" i="2" a="1"/>
  <c r="G153" i="2" s="1"/>
  <c r="G154" i="2" a="1"/>
  <c r="G154" i="2" s="1"/>
  <c r="G155" i="2" a="1"/>
  <c r="G155" i="2" s="1"/>
  <c r="G156" i="2" a="1"/>
  <c r="G156" i="2" s="1"/>
  <c r="G157" i="2" a="1"/>
  <c r="G157" i="2" s="1"/>
  <c r="G158" i="2" a="1"/>
  <c r="G158" i="2" s="1"/>
  <c r="G159" i="2" a="1"/>
  <c r="G159" i="2" s="1"/>
  <c r="G160" i="2" a="1"/>
  <c r="G160" i="2" s="1"/>
  <c r="G161" i="2" a="1"/>
  <c r="G161" i="2" s="1"/>
  <c r="G162" i="2" a="1"/>
  <c r="G162" i="2" s="1"/>
  <c r="G163" i="2" a="1"/>
  <c r="G163" i="2" s="1"/>
  <c r="G164" i="2" a="1"/>
  <c r="G164" i="2" s="1"/>
  <c r="G165" i="2" a="1"/>
  <c r="G165" i="2" s="1"/>
  <c r="G166" i="2" a="1"/>
  <c r="G166" i="2" s="1"/>
  <c r="G167" i="2" a="1"/>
  <c r="G167" i="2" s="1"/>
  <c r="G168" i="2" a="1"/>
  <c r="G168" i="2" s="1"/>
  <c r="G169" i="2" a="1"/>
  <c r="G169" i="2" s="1"/>
  <c r="G170" i="2" a="1"/>
  <c r="G170" i="2" s="1"/>
  <c r="G171" i="2" a="1"/>
  <c r="G171" i="2" s="1"/>
  <c r="G172" i="2" a="1"/>
  <c r="G172" i="2" s="1"/>
  <c r="G173" i="2" a="1"/>
  <c r="G173" i="2" s="1"/>
  <c r="G174" i="2" a="1"/>
  <c r="G174" i="2" s="1"/>
  <c r="G175" i="2" a="1"/>
  <c r="G175" i="2" s="1"/>
  <c r="G176" i="2" a="1"/>
  <c r="G176" i="2" s="1"/>
  <c r="G177" i="2" a="1"/>
  <c r="G177" i="2" s="1"/>
  <c r="G178" i="2" a="1"/>
  <c r="G178" i="2" s="1"/>
  <c r="G179" i="2" a="1"/>
  <c r="G179" i="2" s="1"/>
  <c r="G180" i="2" a="1"/>
  <c r="G180" i="2" s="1"/>
  <c r="G181" i="2" a="1"/>
  <c r="G181" i="2" s="1"/>
  <c r="G182" i="2" a="1"/>
  <c r="G182" i="2" s="1"/>
  <c r="G183" i="2" a="1"/>
  <c r="G183" i="2" s="1"/>
  <c r="G184" i="2" a="1"/>
  <c r="G184" i="2" s="1"/>
  <c r="G185" i="2" a="1"/>
  <c r="G185" i="2" s="1"/>
  <c r="G186" i="2" a="1"/>
  <c r="G186" i="2" s="1"/>
  <c r="G187" i="2" a="1"/>
  <c r="G187" i="2" s="1"/>
  <c r="G188" i="2" a="1"/>
  <c r="G188" i="2" s="1"/>
  <c r="G189" i="2" a="1"/>
  <c r="G189" i="2" s="1"/>
  <c r="G190" i="2" a="1"/>
  <c r="G190" i="2" s="1"/>
  <c r="G191" i="2" a="1"/>
  <c r="G191" i="2" s="1"/>
  <c r="G192" i="2" a="1"/>
  <c r="G192" i="2" s="1"/>
  <c r="G193" i="2" a="1"/>
  <c r="G193" i="2" s="1"/>
  <c r="G194" i="2" a="1"/>
  <c r="G194" i="2" s="1"/>
  <c r="G195" i="2" a="1"/>
  <c r="G195" i="2" s="1"/>
  <c r="G196" i="2" a="1"/>
  <c r="G196" i="2" s="1"/>
  <c r="G197" i="2" a="1"/>
  <c r="G197" i="2" s="1"/>
  <c r="G198" i="2" a="1"/>
  <c r="G198" i="2" s="1"/>
  <c r="G199" i="2" a="1"/>
  <c r="G199" i="2" s="1"/>
  <c r="G200" i="2" a="1"/>
  <c r="G200" i="2" s="1"/>
  <c r="G201" i="2" a="1"/>
  <c r="G201" i="2" s="1"/>
  <c r="G202" i="2" a="1"/>
  <c r="G202" i="2" s="1"/>
  <c r="G203" i="2" a="1"/>
  <c r="G203" i="2" s="1"/>
  <c r="G204" i="2" a="1"/>
  <c r="G204" i="2" s="1"/>
  <c r="G205" i="2" a="1"/>
  <c r="G205" i="2" s="1"/>
  <c r="G206" i="2" a="1"/>
  <c r="G206" i="2" s="1"/>
  <c r="G207" i="2" a="1"/>
  <c r="G207" i="2" s="1"/>
  <c r="G208" i="2" a="1"/>
  <c r="G208" i="2" s="1"/>
  <c r="F2" i="2" a="1"/>
  <c r="F2" i="2" s="1"/>
  <c r="F3" i="2" a="1"/>
  <c r="F3" i="2" s="1"/>
  <c r="F4" i="2" a="1"/>
  <c r="F4" i="2" s="1"/>
  <c r="F5" i="2" a="1"/>
  <c r="F5" i="2" s="1"/>
  <c r="F6" i="2" a="1"/>
  <c r="F6" i="2" s="1"/>
  <c r="F7" i="2" a="1"/>
  <c r="F7" i="2" s="1"/>
  <c r="F8" i="2" a="1"/>
  <c r="F8" i="2" s="1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14" i="2" a="1"/>
  <c r="F14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1" i="2" a="1"/>
  <c r="F21" i="2" s="1"/>
  <c r="F22" i="2" a="1"/>
  <c r="F22" i="2" s="1"/>
  <c r="F23" i="2" a="1"/>
  <c r="F23" i="2" s="1"/>
  <c r="F24" i="2" a="1"/>
  <c r="F24" i="2" s="1"/>
  <c r="F25" i="2" a="1"/>
  <c r="F25" i="2" s="1"/>
  <c r="F26" i="2" a="1"/>
  <c r="F26" i="2" s="1"/>
  <c r="F27" i="2" a="1"/>
  <c r="F27" i="2" s="1"/>
  <c r="F28" i="2" a="1"/>
  <c r="F28" i="2" s="1"/>
  <c r="F29" i="2" a="1"/>
  <c r="F29" i="2" s="1"/>
  <c r="F30" i="2" a="1"/>
  <c r="F30" i="2" s="1"/>
  <c r="F31" i="2" a="1"/>
  <c r="F31" i="2" s="1"/>
  <c r="F32" i="2" a="1"/>
  <c r="F32" i="2" s="1"/>
  <c r="F33" i="2" a="1"/>
  <c r="F33" i="2" s="1"/>
  <c r="F34" i="2" a="1"/>
  <c r="F34" i="2" s="1"/>
  <c r="F35" i="2" a="1"/>
  <c r="F35" i="2" s="1"/>
  <c r="F36" i="2" a="1"/>
  <c r="F36" i="2" s="1"/>
  <c r="F37" i="2" a="1"/>
  <c r="F37" i="2" s="1"/>
  <c r="F38" i="2" a="1"/>
  <c r="F38" i="2" s="1"/>
  <c r="F39" i="2" a="1"/>
  <c r="F39" i="2" s="1"/>
  <c r="F40" i="2" a="1"/>
  <c r="F40" i="2" s="1"/>
  <c r="F41" i="2" a="1"/>
  <c r="F41" i="2" s="1"/>
  <c r="F42" i="2" a="1"/>
  <c r="F42" i="2" s="1"/>
  <c r="F43" i="2" a="1"/>
  <c r="F43" i="2" s="1"/>
  <c r="F44" i="2" a="1"/>
  <c r="F44" i="2" s="1"/>
  <c r="F45" i="2" a="1"/>
  <c r="F45" i="2" s="1"/>
  <c r="F46" i="2" a="1"/>
  <c r="F46" i="2" s="1"/>
  <c r="F47" i="2" a="1"/>
  <c r="F47" i="2" s="1"/>
  <c r="F48" i="2" a="1"/>
  <c r="F48" i="2" s="1"/>
  <c r="F49" i="2" a="1"/>
  <c r="F49" i="2" s="1"/>
  <c r="F50" i="2" a="1"/>
  <c r="F50" i="2" s="1"/>
  <c r="F51" i="2" a="1"/>
  <c r="F51" i="2" s="1"/>
  <c r="F52" i="2" a="1"/>
  <c r="F52" i="2" s="1"/>
  <c r="F53" i="2" a="1"/>
  <c r="F53" i="2" s="1"/>
  <c r="F54" i="2" a="1"/>
  <c r="F54" i="2" s="1"/>
  <c r="F55" i="2" a="1"/>
  <c r="F55" i="2" s="1"/>
  <c r="F56" i="2" a="1"/>
  <c r="F56" i="2" s="1"/>
  <c r="F57" i="2" a="1"/>
  <c r="F57" i="2" s="1"/>
  <c r="F58" i="2" a="1"/>
  <c r="F58" i="2" s="1"/>
  <c r="F59" i="2" a="1"/>
  <c r="F59" i="2" s="1"/>
  <c r="F60" i="2" a="1"/>
  <c r="F60" i="2" s="1"/>
  <c r="F61" i="2" a="1"/>
  <c r="F61" i="2"/>
  <c r="F62" i="2" a="1"/>
  <c r="F62" i="2" s="1"/>
  <c r="F63" i="2" a="1"/>
  <c r="F63" i="2" s="1"/>
  <c r="F64" i="2" a="1"/>
  <c r="F64" i="2" s="1"/>
  <c r="F65" i="2" a="1"/>
  <c r="F65" i="2" s="1"/>
  <c r="F66" i="2" a="1"/>
  <c r="F66" i="2" s="1"/>
  <c r="F67" i="2" a="1"/>
  <c r="F67" i="2" s="1"/>
  <c r="F68" i="2" a="1"/>
  <c r="F68" i="2" s="1"/>
  <c r="F69" i="2" a="1"/>
  <c r="F69" i="2" s="1"/>
  <c r="F70" i="2" a="1"/>
  <c r="F70" i="2" s="1"/>
  <c r="F71" i="2" a="1"/>
  <c r="F71" i="2" s="1"/>
  <c r="F72" i="2" a="1"/>
  <c r="F72" i="2" s="1"/>
  <c r="F73" i="2" a="1"/>
  <c r="F73" i="2" s="1"/>
  <c r="F74" i="2" a="1"/>
  <c r="F74" i="2" s="1"/>
  <c r="F75" i="2" a="1"/>
  <c r="F75" i="2" s="1"/>
  <c r="F76" i="2" a="1"/>
  <c r="F76" i="2" s="1"/>
  <c r="F77" i="2" a="1"/>
  <c r="F77" i="2" s="1"/>
  <c r="F78" i="2" a="1"/>
  <c r="F78" i="2" s="1"/>
  <c r="F79" i="2" a="1"/>
  <c r="F79" i="2" s="1"/>
  <c r="F80" i="2" a="1"/>
  <c r="F80" i="2" s="1"/>
  <c r="F81" i="2" a="1"/>
  <c r="F81" i="2" s="1"/>
  <c r="F82" i="2" a="1"/>
  <c r="F82" i="2" s="1"/>
  <c r="F83" i="2" a="1"/>
  <c r="F83" i="2" s="1"/>
  <c r="F84" i="2" a="1"/>
  <c r="F84" i="2" s="1"/>
  <c r="F85" i="2" a="1"/>
  <c r="F85" i="2" s="1"/>
  <c r="F86" i="2" a="1"/>
  <c r="F86" i="2" s="1"/>
  <c r="F87" i="2" a="1"/>
  <c r="F87" i="2" s="1"/>
  <c r="F88" i="2" a="1"/>
  <c r="F88" i="2" s="1"/>
  <c r="F89" i="2" a="1"/>
  <c r="F89" i="2" s="1"/>
  <c r="F90" i="2" a="1"/>
  <c r="F90" i="2" s="1"/>
  <c r="F91" i="2" a="1"/>
  <c r="F91" i="2" s="1"/>
  <c r="F92" i="2" a="1"/>
  <c r="F92" i="2" s="1"/>
  <c r="F93" i="2" a="1"/>
  <c r="F93" i="2" s="1"/>
  <c r="F94" i="2" a="1"/>
  <c r="F94" i="2" s="1"/>
  <c r="F95" i="2" a="1"/>
  <c r="F95" i="2" s="1"/>
  <c r="F96" i="2" a="1"/>
  <c r="F96" i="2" s="1"/>
  <c r="F97" i="2" a="1"/>
  <c r="F97" i="2" s="1"/>
  <c r="F98" i="2" a="1"/>
  <c r="F98" i="2" s="1"/>
  <c r="F99" i="2" a="1"/>
  <c r="F99" i="2" s="1"/>
  <c r="F100" i="2" a="1"/>
  <c r="F100" i="2" s="1"/>
  <c r="F101" i="2" a="1"/>
  <c r="F101" i="2" s="1"/>
  <c r="F102" i="2" a="1"/>
  <c r="F102" i="2" s="1"/>
  <c r="F103" i="2" a="1"/>
  <c r="F103" i="2" s="1"/>
  <c r="F104" i="2" a="1"/>
  <c r="F104" i="2" s="1"/>
  <c r="F105" i="2" a="1"/>
  <c r="F105" i="2" s="1"/>
  <c r="F106" i="2" a="1"/>
  <c r="F106" i="2" s="1"/>
  <c r="F107" i="2" a="1"/>
  <c r="F107" i="2" s="1"/>
  <c r="F108" i="2" a="1"/>
  <c r="F108" i="2" s="1"/>
  <c r="F109" i="2" a="1"/>
  <c r="F109" i="2" s="1"/>
  <c r="F110" i="2" a="1"/>
  <c r="F110" i="2" s="1"/>
  <c r="F111" i="2" a="1"/>
  <c r="F111" i="2" s="1"/>
  <c r="F112" i="2" a="1"/>
  <c r="F112" i="2" s="1"/>
  <c r="F113" i="2" a="1"/>
  <c r="F113" i="2" s="1"/>
  <c r="F114" i="2" a="1"/>
  <c r="F114" i="2" s="1"/>
  <c r="F115" i="2" a="1"/>
  <c r="F115" i="2" s="1"/>
  <c r="F116" i="2" a="1"/>
  <c r="F116" i="2" s="1"/>
  <c r="F117" i="2" a="1"/>
  <c r="F117" i="2" s="1"/>
  <c r="F118" i="2" a="1"/>
  <c r="F118" i="2" s="1"/>
  <c r="F119" i="2" a="1"/>
  <c r="F119" i="2" s="1"/>
  <c r="F120" i="2" a="1"/>
  <c r="F120" i="2" s="1"/>
  <c r="F121" i="2" a="1"/>
  <c r="F121" i="2" s="1"/>
  <c r="F122" i="2" a="1"/>
  <c r="F122" i="2" s="1"/>
  <c r="F123" i="2" a="1"/>
  <c r="F123" i="2" s="1"/>
  <c r="F124" i="2" a="1"/>
  <c r="F124" i="2" s="1"/>
  <c r="F125" i="2" a="1"/>
  <c r="F125" i="2" s="1"/>
  <c r="F126" i="2" a="1"/>
  <c r="F126" i="2" s="1"/>
  <c r="F127" i="2" a="1"/>
  <c r="F127" i="2" s="1"/>
  <c r="F128" i="2" a="1"/>
  <c r="F128" i="2" s="1"/>
  <c r="F129" i="2" a="1"/>
  <c r="F129" i="2" s="1"/>
  <c r="F130" i="2" a="1"/>
  <c r="F130" i="2" s="1"/>
  <c r="F131" i="2" a="1"/>
  <c r="F131" i="2" s="1"/>
  <c r="F132" i="2" a="1"/>
  <c r="F132" i="2" s="1"/>
  <c r="F133" i="2" a="1"/>
  <c r="F133" i="2" s="1"/>
  <c r="F134" i="2" a="1"/>
  <c r="F134" i="2" s="1"/>
  <c r="F135" i="2" a="1"/>
  <c r="F135" i="2" s="1"/>
  <c r="F136" i="2" a="1"/>
  <c r="F136" i="2" s="1"/>
  <c r="F137" i="2" a="1"/>
  <c r="F137" i="2" s="1"/>
  <c r="F138" i="2" a="1"/>
  <c r="F138" i="2" s="1"/>
  <c r="F139" i="2" a="1"/>
  <c r="F139" i="2" s="1"/>
  <c r="F140" i="2" a="1"/>
  <c r="F140" i="2" s="1"/>
  <c r="F141" i="2" a="1"/>
  <c r="F141" i="2" s="1"/>
  <c r="F142" i="2" a="1"/>
  <c r="F142" i="2" s="1"/>
  <c r="F143" i="2" a="1"/>
  <c r="F143" i="2" s="1"/>
  <c r="F144" i="2" a="1"/>
  <c r="F144" i="2" s="1"/>
  <c r="F145" i="2" a="1"/>
  <c r="F145" i="2" s="1"/>
  <c r="F146" i="2" a="1"/>
  <c r="F146" i="2" s="1"/>
  <c r="F147" i="2" a="1"/>
  <c r="F147" i="2" s="1"/>
  <c r="F148" i="2" a="1"/>
  <c r="F148" i="2" s="1"/>
  <c r="F149" i="2" a="1"/>
  <c r="F149" i="2" s="1"/>
  <c r="F150" i="2" a="1"/>
  <c r="F150" i="2" s="1"/>
  <c r="F151" i="2" a="1"/>
  <c r="F151" i="2" s="1"/>
  <c r="F152" i="2" a="1"/>
  <c r="F152" i="2" s="1"/>
  <c r="F153" i="2" a="1"/>
  <c r="F153" i="2" s="1"/>
  <c r="F154" i="2" a="1"/>
  <c r="F154" i="2" s="1"/>
  <c r="F155" i="2" a="1"/>
  <c r="F155" i="2" s="1"/>
  <c r="F156" i="2" a="1"/>
  <c r="F156" i="2" s="1"/>
  <c r="F157" i="2" a="1"/>
  <c r="F157" i="2" s="1"/>
  <c r="F158" i="2" a="1"/>
  <c r="F158" i="2" s="1"/>
  <c r="F159" i="2" a="1"/>
  <c r="F159" i="2" s="1"/>
  <c r="F160" i="2" a="1"/>
  <c r="F160" i="2" s="1"/>
  <c r="F161" i="2" a="1"/>
  <c r="F161" i="2" s="1"/>
  <c r="F162" i="2" a="1"/>
  <c r="F162" i="2" s="1"/>
  <c r="F163" i="2" a="1"/>
  <c r="F163" i="2" s="1"/>
  <c r="F164" i="2" a="1"/>
  <c r="F164" i="2" s="1"/>
  <c r="F165" i="2" a="1"/>
  <c r="F165" i="2" s="1"/>
  <c r="F166" i="2" a="1"/>
  <c r="F166" i="2" s="1"/>
  <c r="F167" i="2" a="1"/>
  <c r="F167" i="2" s="1"/>
  <c r="F168" i="2" a="1"/>
  <c r="F168" i="2" s="1"/>
  <c r="F169" i="2" a="1"/>
  <c r="F169" i="2" s="1"/>
  <c r="F170" i="2" a="1"/>
  <c r="F170" i="2" s="1"/>
  <c r="F171" i="2" a="1"/>
  <c r="F171" i="2" s="1"/>
  <c r="F172" i="2" a="1"/>
  <c r="F172" i="2" s="1"/>
  <c r="F173" i="2" a="1"/>
  <c r="F173" i="2" s="1"/>
  <c r="F174" i="2" a="1"/>
  <c r="F174" i="2" s="1"/>
  <c r="F175" i="2" a="1"/>
  <c r="F175" i="2" s="1"/>
  <c r="F176" i="2" a="1"/>
  <c r="F176" i="2" s="1"/>
  <c r="F177" i="2" a="1"/>
  <c r="F177" i="2" s="1"/>
  <c r="F178" i="2" a="1"/>
  <c r="F178" i="2" s="1"/>
  <c r="F179" i="2" a="1"/>
  <c r="F179" i="2" s="1"/>
  <c r="F180" i="2" a="1"/>
  <c r="F180" i="2" s="1"/>
  <c r="F181" i="2" a="1"/>
  <c r="F181" i="2" s="1"/>
  <c r="F182" i="2" a="1"/>
  <c r="F182" i="2" s="1"/>
  <c r="F183" i="2" a="1"/>
  <c r="F183" i="2" s="1"/>
  <c r="F184" i="2" a="1"/>
  <c r="F184" i="2" s="1"/>
  <c r="F185" i="2" a="1"/>
  <c r="F185" i="2" s="1"/>
  <c r="F186" i="2" a="1"/>
  <c r="F186" i="2" s="1"/>
  <c r="F187" i="2" a="1"/>
  <c r="F187" i="2" s="1"/>
  <c r="F188" i="2" a="1"/>
  <c r="F188" i="2" s="1"/>
  <c r="F189" i="2" a="1"/>
  <c r="F189" i="2" s="1"/>
  <c r="F190" i="2" a="1"/>
  <c r="F190" i="2" s="1"/>
  <c r="F191" i="2" a="1"/>
  <c r="F191" i="2" s="1"/>
  <c r="F192" i="2" a="1"/>
  <c r="F192" i="2" s="1"/>
  <c r="F193" i="2" a="1"/>
  <c r="F193" i="2" s="1"/>
  <c r="F194" i="2" a="1"/>
  <c r="F194" i="2" s="1"/>
  <c r="F195" i="2" a="1"/>
  <c r="F195" i="2" s="1"/>
  <c r="F196" i="2" a="1"/>
  <c r="F196" i="2" s="1"/>
  <c r="F197" i="2" a="1"/>
  <c r="F197" i="2" s="1"/>
  <c r="F198" i="2" a="1"/>
  <c r="F198" i="2" s="1"/>
  <c r="F199" i="2" a="1"/>
  <c r="F199" i="2" s="1"/>
  <c r="F200" i="2" a="1"/>
  <c r="F200" i="2" s="1"/>
  <c r="F201" i="2" a="1"/>
  <c r="F201" i="2" s="1"/>
  <c r="F202" i="2" a="1"/>
  <c r="F202" i="2" s="1"/>
  <c r="F203" i="2" a="1"/>
  <c r="F203" i="2" s="1"/>
  <c r="F204" i="2" a="1"/>
  <c r="F204" i="2" s="1"/>
  <c r="F205" i="2" a="1"/>
  <c r="F205" i="2" s="1"/>
  <c r="F206" i="2" a="1"/>
  <c r="F206" i="2" s="1"/>
  <c r="F207" i="2" a="1"/>
  <c r="F207" i="2" s="1"/>
  <c r="F208" i="2" a="1"/>
  <c r="F208" i="2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E2" i="2" a="1"/>
  <c r="E2" i="2" s="1"/>
  <c r="E3" i="2" a="1"/>
  <c r="E3" i="2" s="1"/>
  <c r="E4" i="2" a="1"/>
  <c r="E4" i="2" s="1"/>
  <c r="E5" i="2" a="1"/>
  <c r="E5" i="2" s="1"/>
  <c r="E6" i="2" a="1"/>
  <c r="E6" i="2" s="1"/>
  <c r="E7" i="2" a="1"/>
  <c r="E7" i="2" s="1"/>
  <c r="E8" i="2" a="1"/>
  <c r="E8" i="2" s="1"/>
  <c r="E9" i="2" a="1"/>
  <c r="E9" i="2" s="1"/>
  <c r="E10" i="2" a="1"/>
  <c r="E10" i="2" s="1"/>
  <c r="E11" i="2" a="1"/>
  <c r="E11" i="2" s="1"/>
  <c r="E12" i="2" a="1"/>
  <c r="E12" i="2" s="1"/>
  <c r="E13" i="2" a="1"/>
  <c r="E13" i="2" s="1"/>
  <c r="E14" i="2" a="1"/>
  <c r="E14" i="2" s="1"/>
  <c r="E15" i="2" a="1"/>
  <c r="E15" i="2" s="1"/>
  <c r="E16" i="2" a="1"/>
  <c r="E16" i="2" s="1"/>
  <c r="E17" i="2" a="1"/>
  <c r="E17" i="2" s="1"/>
  <c r="E18" i="2" a="1"/>
  <c r="E18" i="2" s="1"/>
  <c r="E19" i="2" a="1"/>
  <c r="E19" i="2" s="1"/>
  <c r="E20" i="2" a="1"/>
  <c r="E20" i="2" s="1"/>
  <c r="E21" i="2" a="1"/>
  <c r="E21" i="2" s="1"/>
  <c r="E22" i="2" a="1"/>
  <c r="E22" i="2" s="1"/>
  <c r="E23" i="2" a="1"/>
  <c r="E23" i="2" s="1"/>
  <c r="E24" i="2" a="1"/>
  <c r="E24" i="2" s="1"/>
  <c r="E25" i="2" a="1"/>
  <c r="E25" i="2" s="1"/>
  <c r="E26" i="2" a="1"/>
  <c r="E26" i="2" s="1"/>
  <c r="E27" i="2" a="1"/>
  <c r="E27" i="2" s="1"/>
  <c r="E28" i="2" a="1"/>
  <c r="E28" i="2" s="1"/>
  <c r="E29" i="2" a="1"/>
  <c r="E29" i="2" s="1"/>
  <c r="E30" i="2" a="1"/>
  <c r="E30" i="2" s="1"/>
  <c r="E31" i="2" a="1"/>
  <c r="E31" i="2" s="1"/>
  <c r="E32" i="2" a="1"/>
  <c r="E32" i="2" s="1"/>
  <c r="E33" i="2" a="1"/>
  <c r="E33" i="2" s="1"/>
  <c r="E34" i="2" a="1"/>
  <c r="E34" i="2" s="1"/>
  <c r="E35" i="2" a="1"/>
  <c r="E35" i="2" s="1"/>
  <c r="E36" i="2" a="1"/>
  <c r="E36" i="2" s="1"/>
  <c r="E37" i="2" a="1"/>
  <c r="E37" i="2" s="1"/>
  <c r="E38" i="2" a="1"/>
  <c r="E38" i="2" s="1"/>
  <c r="E39" i="2" a="1"/>
  <c r="E39" i="2" s="1"/>
  <c r="E40" i="2" a="1"/>
  <c r="E40" i="2" s="1"/>
  <c r="E41" i="2" a="1"/>
  <c r="E41" i="2" s="1"/>
  <c r="E42" i="2" a="1"/>
  <c r="E42" i="2" s="1"/>
  <c r="E43" i="2" a="1"/>
  <c r="E43" i="2" s="1"/>
  <c r="E44" i="2" a="1"/>
  <c r="E44" i="2" s="1"/>
  <c r="E45" i="2" a="1"/>
  <c r="E45" i="2" s="1"/>
  <c r="E46" i="2" a="1"/>
  <c r="E46" i="2" s="1"/>
  <c r="E47" i="2" a="1"/>
  <c r="E47" i="2" s="1"/>
  <c r="E48" i="2" a="1"/>
  <c r="E48" i="2" s="1"/>
  <c r="E49" i="2" a="1"/>
  <c r="E49" i="2" s="1"/>
  <c r="E50" i="2" a="1"/>
  <c r="E50" i="2" s="1"/>
  <c r="E51" i="2" a="1"/>
  <c r="E51" i="2" s="1"/>
  <c r="E52" i="2" a="1"/>
  <c r="E52" i="2" s="1"/>
  <c r="E53" i="2" a="1"/>
  <c r="E53" i="2" s="1"/>
  <c r="E54" i="2" a="1"/>
  <c r="E54" i="2" s="1"/>
  <c r="E55" i="2" a="1"/>
  <c r="E55" i="2" s="1"/>
  <c r="E56" i="2" a="1"/>
  <c r="E56" i="2" s="1"/>
  <c r="E57" i="2" a="1"/>
  <c r="E57" i="2" s="1"/>
  <c r="E58" i="2" a="1"/>
  <c r="E58" i="2" s="1"/>
  <c r="E59" i="2" a="1"/>
  <c r="E59" i="2" s="1"/>
  <c r="E60" i="2" a="1"/>
  <c r="E60" i="2" s="1"/>
  <c r="E61" i="2" a="1"/>
  <c r="E61" i="2" s="1"/>
  <c r="E62" i="2" a="1"/>
  <c r="E62" i="2" s="1"/>
  <c r="E63" i="2" a="1"/>
  <c r="E63" i="2" s="1"/>
  <c r="E64" i="2" a="1"/>
  <c r="E64" i="2" s="1"/>
  <c r="E65" i="2" a="1"/>
  <c r="E65" i="2" s="1"/>
  <c r="E66" i="2" a="1"/>
  <c r="E66" i="2" s="1"/>
  <c r="E67" i="2" a="1"/>
  <c r="E67" i="2" s="1"/>
  <c r="E68" i="2" a="1"/>
  <c r="E68" i="2" s="1"/>
  <c r="E69" i="2" a="1"/>
  <c r="E69" i="2" s="1"/>
  <c r="E70" i="2" a="1"/>
  <c r="E70" i="2" s="1"/>
  <c r="E71" i="2" a="1"/>
  <c r="E71" i="2" s="1"/>
  <c r="E72" i="2" a="1"/>
  <c r="E72" i="2" s="1"/>
  <c r="E73" i="2" a="1"/>
  <c r="E73" i="2" s="1"/>
  <c r="E74" i="2" a="1"/>
  <c r="E74" i="2" s="1"/>
  <c r="E75" i="2" a="1"/>
  <c r="E75" i="2" s="1"/>
  <c r="E76" i="2" a="1"/>
  <c r="E76" i="2" s="1"/>
  <c r="E77" i="2" a="1"/>
  <c r="E77" i="2" s="1"/>
  <c r="E78" i="2" a="1"/>
  <c r="E78" i="2" s="1"/>
  <c r="E79" i="2" a="1"/>
  <c r="E79" i="2" s="1"/>
  <c r="E80" i="2" a="1"/>
  <c r="E80" i="2" s="1"/>
  <c r="E81" i="2" a="1"/>
  <c r="E81" i="2" s="1"/>
  <c r="E82" i="2" a="1"/>
  <c r="E82" i="2" s="1"/>
  <c r="E83" i="2" a="1"/>
  <c r="E83" i="2" s="1"/>
  <c r="E84" i="2" a="1"/>
  <c r="E84" i="2" s="1"/>
  <c r="E85" i="2" a="1"/>
  <c r="E85" i="2" s="1"/>
  <c r="E86" i="2" a="1"/>
  <c r="E86" i="2" s="1"/>
  <c r="E87" i="2" a="1"/>
  <c r="E87" i="2" s="1"/>
  <c r="E88" i="2" a="1"/>
  <c r="E88" i="2" s="1"/>
  <c r="E89" i="2" a="1"/>
  <c r="E89" i="2" s="1"/>
  <c r="E90" i="2" a="1"/>
  <c r="E90" i="2" s="1"/>
  <c r="E91" i="2" a="1"/>
  <c r="E91" i="2" s="1"/>
  <c r="E92" i="2" a="1"/>
  <c r="E92" i="2" s="1"/>
  <c r="E93" i="2" a="1"/>
  <c r="E93" i="2" s="1"/>
  <c r="E94" i="2" a="1"/>
  <c r="E94" i="2" s="1"/>
  <c r="E95" i="2" a="1"/>
  <c r="E95" i="2" s="1"/>
  <c r="E96" i="2" a="1"/>
  <c r="E96" i="2" s="1"/>
  <c r="E97" i="2" a="1"/>
  <c r="E97" i="2" s="1"/>
  <c r="E98" i="2" a="1"/>
  <c r="E98" i="2" s="1"/>
  <c r="E99" i="2" a="1"/>
  <c r="E99" i="2" s="1"/>
  <c r="E100" i="2" a="1"/>
  <c r="E100" i="2" s="1"/>
  <c r="E101" i="2" a="1"/>
  <c r="E101" i="2" s="1"/>
  <c r="E102" i="2" a="1"/>
  <c r="E102" i="2" s="1"/>
  <c r="E103" i="2" a="1"/>
  <c r="E103" i="2" s="1"/>
  <c r="E104" i="2" a="1"/>
  <c r="E104" i="2" s="1"/>
  <c r="E105" i="2" a="1"/>
  <c r="E105" i="2" s="1"/>
  <c r="E106" i="2" a="1"/>
  <c r="E106" i="2" s="1"/>
  <c r="E107" i="2" a="1"/>
  <c r="E107" i="2" s="1"/>
  <c r="E108" i="2" a="1"/>
  <c r="E108" i="2" s="1"/>
  <c r="E109" i="2" a="1"/>
  <c r="E109" i="2" s="1"/>
  <c r="E110" i="2" a="1"/>
  <c r="E110" i="2" s="1"/>
  <c r="E111" i="2" a="1"/>
  <c r="E111" i="2" s="1"/>
  <c r="E112" i="2" a="1"/>
  <c r="E112" i="2" s="1"/>
  <c r="E113" i="2" a="1"/>
  <c r="E113" i="2" s="1"/>
  <c r="E114" i="2" a="1"/>
  <c r="E114" i="2" s="1"/>
  <c r="E115" i="2" a="1"/>
  <c r="E115" i="2" s="1"/>
  <c r="E116" i="2" a="1"/>
  <c r="E116" i="2" s="1"/>
  <c r="E117" i="2" a="1"/>
  <c r="E117" i="2" s="1"/>
  <c r="E118" i="2" a="1"/>
  <c r="E118" i="2" s="1"/>
  <c r="E119" i="2" a="1"/>
  <c r="E119" i="2" s="1"/>
  <c r="E120" i="2" a="1"/>
  <c r="E120" i="2" s="1"/>
  <c r="E121" i="2" a="1"/>
  <c r="E121" i="2" s="1"/>
  <c r="E122" i="2" a="1"/>
  <c r="E122" i="2" s="1"/>
  <c r="E123" i="2" a="1"/>
  <c r="E123" i="2" s="1"/>
  <c r="E124" i="2" a="1"/>
  <c r="E124" i="2" s="1"/>
  <c r="E125" i="2" a="1"/>
  <c r="E125" i="2" s="1"/>
  <c r="E126" i="2" a="1"/>
  <c r="E126" i="2" s="1"/>
  <c r="E127" i="2" a="1"/>
  <c r="E127" i="2" s="1"/>
  <c r="E128" i="2" a="1"/>
  <c r="E128" i="2" s="1"/>
  <c r="E129" i="2" a="1"/>
  <c r="E129" i="2" s="1"/>
  <c r="E130" i="2" a="1"/>
  <c r="E130" i="2" s="1"/>
  <c r="E131" i="2" a="1"/>
  <c r="E131" i="2" s="1"/>
  <c r="E132" i="2" a="1"/>
  <c r="E132" i="2" s="1"/>
  <c r="E133" i="2" a="1"/>
  <c r="E133" i="2" s="1"/>
  <c r="E134" i="2" a="1"/>
  <c r="E134" i="2" s="1"/>
  <c r="E135" i="2" a="1"/>
  <c r="E135" i="2" s="1"/>
  <c r="E136" i="2" a="1"/>
  <c r="E136" i="2" s="1"/>
  <c r="E137" i="2" a="1"/>
  <c r="E137" i="2" s="1"/>
  <c r="E138" i="2" a="1"/>
  <c r="E138" i="2" s="1"/>
  <c r="E139" i="2" a="1"/>
  <c r="E139" i="2" s="1"/>
  <c r="E140" i="2" a="1"/>
  <c r="E140" i="2" s="1"/>
  <c r="E141" i="2" a="1"/>
  <c r="E141" i="2" s="1"/>
  <c r="E142" i="2" a="1"/>
  <c r="E142" i="2" s="1"/>
  <c r="E143" i="2" a="1"/>
  <c r="E143" i="2" s="1"/>
  <c r="E144" i="2" a="1"/>
  <c r="E144" i="2" s="1"/>
  <c r="E145" i="2" a="1"/>
  <c r="E145" i="2" s="1"/>
  <c r="E146" i="2" a="1"/>
  <c r="E146" i="2" s="1"/>
  <c r="E147" i="2" a="1"/>
  <c r="E147" i="2" s="1"/>
  <c r="E148" i="2" a="1"/>
  <c r="E148" i="2" s="1"/>
  <c r="E149" i="2" a="1"/>
  <c r="E149" i="2" s="1"/>
  <c r="E150" i="2" a="1"/>
  <c r="E150" i="2" s="1"/>
  <c r="E151" i="2" a="1"/>
  <c r="E151" i="2" s="1"/>
  <c r="E152" i="2" a="1"/>
  <c r="E152" i="2" s="1"/>
  <c r="E153" i="2" a="1"/>
  <c r="E153" i="2" s="1"/>
  <c r="E154" i="2" a="1"/>
  <c r="E154" i="2" s="1"/>
  <c r="E155" i="2" a="1"/>
  <c r="E155" i="2" s="1"/>
  <c r="E156" i="2" a="1"/>
  <c r="E156" i="2" s="1"/>
  <c r="E157" i="2" a="1"/>
  <c r="E157" i="2" s="1"/>
  <c r="E158" i="2" a="1"/>
  <c r="E158" i="2" s="1"/>
  <c r="E159" i="2" a="1"/>
  <c r="E159" i="2" s="1"/>
  <c r="E160" i="2" a="1"/>
  <c r="E160" i="2" s="1"/>
  <c r="E161" i="2" a="1"/>
  <c r="E161" i="2" s="1"/>
  <c r="E162" i="2" a="1"/>
  <c r="E162" i="2" s="1"/>
  <c r="E163" i="2" a="1"/>
  <c r="E163" i="2" s="1"/>
  <c r="E164" i="2" a="1"/>
  <c r="E164" i="2" s="1"/>
  <c r="E165" i="2" a="1"/>
  <c r="E165" i="2" s="1"/>
  <c r="E166" i="2" a="1"/>
  <c r="E166" i="2" s="1"/>
  <c r="E167" i="2" a="1"/>
  <c r="E167" i="2" s="1"/>
  <c r="E168" i="2" a="1"/>
  <c r="E168" i="2" s="1"/>
  <c r="E169" i="2" a="1"/>
  <c r="E169" i="2" s="1"/>
  <c r="E170" i="2" a="1"/>
  <c r="E170" i="2" s="1"/>
  <c r="E171" i="2" a="1"/>
  <c r="E171" i="2" s="1"/>
  <c r="E172" i="2" a="1"/>
  <c r="E172" i="2" s="1"/>
  <c r="E173" i="2" a="1"/>
  <c r="E173" i="2" s="1"/>
  <c r="E174" i="2" a="1"/>
  <c r="E174" i="2" s="1"/>
  <c r="E175" i="2" a="1"/>
  <c r="E175" i="2" s="1"/>
  <c r="E176" i="2" a="1"/>
  <c r="E176" i="2" s="1"/>
  <c r="E177" i="2" a="1"/>
  <c r="E177" i="2" s="1"/>
  <c r="E178" i="2" a="1"/>
  <c r="E178" i="2" s="1"/>
  <c r="E179" i="2" a="1"/>
  <c r="E179" i="2" s="1"/>
  <c r="E180" i="2" a="1"/>
  <c r="E180" i="2" s="1"/>
  <c r="E181" i="2" a="1"/>
  <c r="E181" i="2" s="1"/>
  <c r="E182" i="2" a="1"/>
  <c r="E182" i="2" s="1"/>
  <c r="E183" i="2" a="1"/>
  <c r="E183" i="2" s="1"/>
  <c r="E184" i="2" a="1"/>
  <c r="E184" i="2" s="1"/>
  <c r="E185" i="2" a="1"/>
  <c r="E185" i="2" s="1"/>
  <c r="E186" i="2" a="1"/>
  <c r="E186" i="2" s="1"/>
  <c r="E187" i="2" a="1"/>
  <c r="E187" i="2" s="1"/>
  <c r="E188" i="2" a="1"/>
  <c r="E188" i="2" s="1"/>
  <c r="E189" i="2" a="1"/>
  <c r="E189" i="2" s="1"/>
  <c r="E190" i="2" a="1"/>
  <c r="E190" i="2" s="1"/>
  <c r="E191" i="2" a="1"/>
  <c r="E191" i="2" s="1"/>
  <c r="E192" i="2" a="1"/>
  <c r="E192" i="2" s="1"/>
  <c r="E193" i="2" a="1"/>
  <c r="E193" i="2" s="1"/>
  <c r="E194" i="2" a="1"/>
  <c r="E194" i="2" s="1"/>
  <c r="E195" i="2" a="1"/>
  <c r="E195" i="2" s="1"/>
  <c r="E196" i="2" a="1"/>
  <c r="E196" i="2" s="1"/>
  <c r="E197" i="2" a="1"/>
  <c r="E197" i="2" s="1"/>
  <c r="E198" i="2" a="1"/>
  <c r="E198" i="2" s="1"/>
  <c r="E199" i="2" a="1"/>
  <c r="E199" i="2" s="1"/>
  <c r="E200" i="2" a="1"/>
  <c r="E200" i="2" s="1"/>
  <c r="E201" i="2" a="1"/>
  <c r="E201" i="2" s="1"/>
  <c r="E202" i="2" a="1"/>
  <c r="E202" i="2" s="1"/>
  <c r="E203" i="2" a="1"/>
  <c r="E203" i="2" s="1"/>
  <c r="E204" i="2" a="1"/>
  <c r="E204" i="2" s="1"/>
  <c r="E205" i="2" a="1"/>
  <c r="E205" i="2" s="1"/>
  <c r="E206" i="2" a="1"/>
  <c r="E206" i="2" s="1"/>
  <c r="E207" i="2" a="1"/>
  <c r="E207" i="2" s="1"/>
  <c r="E208" i="2" a="1"/>
  <c r="E208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C15AB7-C4E8-4E59-8300-6CCACF7CC29F}" keepAlive="1" name="Query - Artifacts" description="Connection to the 'Artifacts' query in the workbook." type="5" refreshedVersion="8" background="1" saveData="1">
    <dbPr connection="Provider=Microsoft.Mashup.OleDb.1;Data Source=$Workbook$;Location=Artifacts;Extended Properties=&quot;&quot;" command="SELECT * FROM [Artifacts]"/>
  </connection>
  <connection id="2" xr16:uid="{C7BF843E-1214-4E9B-B8BF-ED936A9E0A41}" keepAlive="1" name="Query - Roles" description="Connection to the 'Roles' query in the workbook." type="5" refreshedVersion="8" background="1" saveData="1">
    <dbPr connection="Provider=Microsoft.Mashup.OleDb.1;Data Source=$Workbook$;Location=Roles;Extended Properties=&quot;&quot;" command="SELECT * FROM [Roles]"/>
  </connection>
  <connection id="3" xr16:uid="{1F562C8C-18AF-4CD6-9511-49033EA9BD36}" keepAlive="1" name="Query - SOP" description="Connection to the 'SOP' query in the workbook." type="5" refreshedVersion="8" background="1" saveData="1">
    <dbPr connection="Provider=Microsoft.Mashup.OleDb.1;Data Source=$Workbook$;Location=SOP;Extended Properties=&quot;&quot;" command="SELECT * FROM [SOP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<sst xmlns="http://schemas.openxmlformats.org/spreadsheetml/2006/main" count="1464" uniqueCount="194">
  <si>
    <t>Column1</t>
  </si>
  <si>
    <t>Column2</t>
  </si>
  <si>
    <t>Column3</t>
  </si>
  <si>
    <t>Artifact</t>
  </si>
  <si>
    <t>SOP</t>
  </si>
  <si>
    <t>Input or output</t>
  </si>
  <si>
    <t>Responsible</t>
  </si>
  <si>
    <t>Övergripande behov</t>
  </si>
  <si>
    <t>docs\SOP\1.Kravställning\01_vision_och_malbild.md</t>
  </si>
  <si>
    <t>input</t>
  </si>
  <si>
    <t>Vision &amp; målbild</t>
  </si>
  <si>
    <t>output</t>
  </si>
  <si>
    <t>Business Analyst</t>
  </si>
  <si>
    <t>docs\SOP\1.Kravställning\02_affarsmal_och_vardebild.md</t>
  </si>
  <si>
    <t>docs\SOP\1.Kravställning\03_scope_och_avgransningar.md</t>
  </si>
  <si>
    <t>Scope &amp; avgränsningar</t>
  </si>
  <si>
    <t>Epics &amp; Capabilities</t>
  </si>
  <si>
    <t>docs\SOP\1.Kravställning\04_stakeholderkarta.md</t>
  </si>
  <si>
    <t>Stakeholderkarta</t>
  </si>
  <si>
    <t>Beroendekarta</t>
  </si>
  <si>
    <t>docs\SOP\1.Kravställning\05_domananalys.md</t>
  </si>
  <si>
    <t>User Stories</t>
  </si>
  <si>
    <t>Verksamhetsregler</t>
  </si>
  <si>
    <t>Domänmodell</t>
  </si>
  <si>
    <t>Begreppsmodell</t>
  </si>
  <si>
    <t>docs\SOP\1.Kravställning\06_user_journeys.md</t>
  </si>
  <si>
    <t>User journeys</t>
  </si>
  <si>
    <t>UX</t>
  </si>
  <si>
    <t>docs\SOP\1.Kravställning\07_skapa_story_map.md</t>
  </si>
  <si>
    <t>Story map</t>
  </si>
  <si>
    <t>Funktionella block</t>
  </si>
  <si>
    <t>docs\SOP\1.Kravställning\08_gruppera_i_epics_och_capabilities.md</t>
  </si>
  <si>
    <t>docs\SOP\1.Kravställning\09_prioritera_backlog.md</t>
  </si>
  <si>
    <t>Risker</t>
  </si>
  <si>
    <t>Prioriterad backlog</t>
  </si>
  <si>
    <t>docs\SOP\1.Kravställning\10_definiera_framgangskriterier.md</t>
  </si>
  <si>
    <t>KPI / värdemått</t>
  </si>
  <si>
    <t>Uppföljningsmodell</t>
  </si>
  <si>
    <t>docs\SOP\2. Målarkitektur\01_Etablera arkitekturmål.md</t>
  </si>
  <si>
    <t>Arkitekturmål</t>
  </si>
  <si>
    <t>Lösningsarkitekt</t>
  </si>
  <si>
    <t>Arkitekturprinciper</t>
  </si>
  <si>
    <t>docs\SOP\2. Målarkitektur\02_Definiera systemlandskap.md</t>
  </si>
  <si>
    <t>Systemlandskap</t>
  </si>
  <si>
    <t>docs\SOP\2. Målarkitektur\03_Definiera domänmodell.md</t>
  </si>
  <si>
    <t>docs\SOP\2. Målarkitektur\04_Definiera integrationsarkitektu.md</t>
  </si>
  <si>
    <t>Datamodell</t>
  </si>
  <si>
    <t>Integrationsarkitektur</t>
  </si>
  <si>
    <t>Integrationspunkter</t>
  </si>
  <si>
    <t>docs\SOP\2. Målarkitektur\05_Definiera API‑struktur.md</t>
  </si>
  <si>
    <t>API-specifikation</t>
  </si>
  <si>
    <t>docs\SOP\2. Målarkitektur\06_Definiera datamodell.md</t>
  </si>
  <si>
    <t>Dataarkitekt</t>
  </si>
  <si>
    <t>Dataägarskap</t>
  </si>
  <si>
    <t>docs\SOP\2. Målarkitektur\07_Definiera säkerhetsarkitektur.md</t>
  </si>
  <si>
    <t>Säkerhetsarkitektur</t>
  </si>
  <si>
    <t>Säkerhetsprinciper</t>
  </si>
  <si>
    <t>docs\SOP\2. Målarkitektur\08_Fastställ arkitekturprinciper.md</t>
  </si>
  <si>
    <t>docs\SOP\2. Målarkitektur\09_Definiera NFR.md</t>
  </si>
  <si>
    <t>Icke-funktionella krav (NFR)</t>
  </si>
  <si>
    <t>docs\SOP\2. Målarkitektur\10_Definiera teknisk plattform.md</t>
  </si>
  <si>
    <t>Teknisk plattform</t>
  </si>
  <si>
    <t>Målarkitektur</t>
  </si>
  <si>
    <t>docs\SOP\2. Målarkitektur\11_ Dokumentera målarkitektur.md</t>
  </si>
  <si>
    <t>docs\SOP\3. Roadmap\01_skapa_mvp.md</t>
  </si>
  <si>
    <t>MVP-definition</t>
  </si>
  <si>
    <t>docs\SOP\3. Roadmap\02_Strukturera story map till leveranspaket.md</t>
  </si>
  <si>
    <t>Releasepaket</t>
  </si>
  <si>
    <t>docs\SOP\3. Roadmap\03_Skapa releaseplan.md</t>
  </si>
  <si>
    <t>Releaseplan</t>
  </si>
  <si>
    <t>docs\SOP\3. Roadmap\04_Skapa produktroadmap.md</t>
  </si>
  <si>
    <t>Roadmap</t>
  </si>
  <si>
    <t>docs\SOP\3. Roadmap\05_Prioritera funktionalitet.md</t>
  </si>
  <si>
    <t>docs\SOP\3. Roadmap\06_Identifiera tekniska beroenden.md</t>
  </si>
  <si>
    <t>Teknisk Lead</t>
  </si>
  <si>
    <t>Sekvensplan</t>
  </si>
  <si>
    <t>docs\SOP\4. Leverans\01_backlog_refinement.md</t>
  </si>
  <si>
    <t>Feedback</t>
  </si>
  <si>
    <t>Arkitekturinsikter</t>
  </si>
  <si>
    <t>Ready backlog</t>
  </si>
  <si>
    <t>docs\SOP\4. Leverans\02_sprintplanering.md</t>
  </si>
  <si>
    <t>Teamkapacitet (behåll som egen artefakt)</t>
  </si>
  <si>
    <t>Sprintmål</t>
  </si>
  <si>
    <t>Scrum Master</t>
  </si>
  <si>
    <t>Sprint backlog</t>
  </si>
  <si>
    <t>docs\SOP\4. Leverans\03_utveckling.md</t>
  </si>
  <si>
    <t>Produktinkrement</t>
  </si>
  <si>
    <t>Utvecklare</t>
  </si>
  <si>
    <t>Kod för granskning</t>
  </si>
  <si>
    <t>docs\SOP\4. Leverans\04_kodgranskning.md</t>
  </si>
  <si>
    <t>Verifierad funktionalitet</t>
  </si>
  <si>
    <t>Kodförbättringar</t>
  </si>
  <si>
    <t>docs\SOP\4. Leverans\05_test.md</t>
  </si>
  <si>
    <t>Teststrategi</t>
  </si>
  <si>
    <t>Testresultat</t>
  </si>
  <si>
    <t>Testare</t>
  </si>
  <si>
    <t>docs\SOP\4. Leverans\06_integration_och_bygg.md</t>
  </si>
  <si>
    <t>CI/CD-pipeline</t>
  </si>
  <si>
    <t>Miljökonfiguration</t>
  </si>
  <si>
    <t>Byggt system</t>
  </si>
  <si>
    <t>DevOps</t>
  </si>
  <si>
    <t>Demo-underlag</t>
  </si>
  <si>
    <t>docs\SOP\4. Leverans\07_demo.md</t>
  </si>
  <si>
    <t>docs\SOP\4. Leverans\08_release.md</t>
  </si>
  <si>
    <t>Release notes</t>
  </si>
  <si>
    <t>docs\SOP\4. Leverans\09_deployments.md</t>
  </si>
  <si>
    <t>Deployment</t>
  </si>
  <si>
    <t>docs\SOP\4. Leverans\10_uppdatera_dokumentation.md</t>
  </si>
  <si>
    <t>Dokumentation</t>
  </si>
  <si>
    <t>docs\SOP\4. Leverans\11_uppfoljning_och_forbattring.md</t>
  </si>
  <si>
    <t>Förbättringsförslag</t>
  </si>
  <si>
    <t>Retrospektiv</t>
  </si>
  <si>
    <t>docs\SOP\5. Repeat\01_utvardera_leveransresultat.md</t>
  </si>
  <si>
    <t>Leveransutvärdering</t>
  </si>
  <si>
    <t>Funktionella förbättringar</t>
  </si>
  <si>
    <t>docs\SOP\5. Repeat\02_utvardera_process_och_arbetssatt.md</t>
  </si>
  <si>
    <t>Tekniska hinder</t>
  </si>
  <si>
    <t>Processförbättringar</t>
  </si>
  <si>
    <t>docs\SOP\5. Repeat\03_samla_input_for_uppdaterad_kravstallning.md</t>
  </si>
  <si>
    <t>Kravställningsunderlag</t>
  </si>
  <si>
    <t>docs\SOP\5. Repeat\04_identifiera_arkitekturella_lardomar.md</t>
  </si>
  <si>
    <t>Tekniska förbättringar</t>
  </si>
  <si>
    <t>docs\SOP\5. Repeat\05_Förbereda nästa roadmap‑iteration.md</t>
  </si>
  <si>
    <t>Roadmap-input</t>
  </si>
  <si>
    <t>Roadmap-justering</t>
  </si>
  <si>
    <t>docs\SOP\5. Repeat\06_Förbereda nästa cykel.md</t>
  </si>
  <si>
    <t>Cykelstart-brief</t>
  </si>
  <si>
    <t>Column5</t>
  </si>
  <si>
    <t>Type of RACI</t>
  </si>
  <si>
    <t>R</t>
  </si>
  <si>
    <t>Produktägare</t>
  </si>
  <si>
    <t>A</t>
  </si>
  <si>
    <t>Verksamhetsexperter</t>
  </si>
  <si>
    <t>C</t>
  </si>
  <si>
    <t>Projektledare</t>
  </si>
  <si>
    <t>I</t>
  </si>
  <si>
    <t>Användarrepresentanter</t>
  </si>
  <si>
    <t>Enterprise Arkitekt</t>
  </si>
  <si>
    <t>Grand Total</t>
  </si>
  <si>
    <t>Row Labels</t>
  </si>
  <si>
    <t>(Multiple Items)</t>
  </si>
  <si>
    <t>Role2</t>
  </si>
  <si>
    <t>Responsible2</t>
  </si>
  <si>
    <t>Responsible3</t>
  </si>
  <si>
    <t>Consulted</t>
  </si>
  <si>
    <t>Informed</t>
  </si>
  <si>
    <t>Delprocess</t>
  </si>
  <si>
    <t>processsteg</t>
  </si>
  <si>
    <t>Kravställning</t>
  </si>
  <si>
    <t>Affärsmål &amp; värdebild</t>
  </si>
  <si>
    <t>Stakeholder-karta</t>
  </si>
  <si>
    <t>Domänanalys</t>
  </si>
  <si>
    <t>User Journeys / huvudflöden</t>
  </si>
  <si>
    <t>Skapa Story Map</t>
  </si>
  <si>
    <t>Gruppera i epics &amp; capabilities</t>
  </si>
  <si>
    <t>Prioritera backlog (hög nivå)</t>
  </si>
  <si>
    <t>Definiera framgångskriterier (KPI)</t>
  </si>
  <si>
    <t>Etablera arkitekturmål</t>
  </si>
  <si>
    <t>Definiera systemlandskap</t>
  </si>
  <si>
    <t>Definiera domänmodell</t>
  </si>
  <si>
    <t>Definiera integrationsarkitektur</t>
  </si>
  <si>
    <t>Definiera API-struktur</t>
  </si>
  <si>
    <t>Definiera datamodell (hög nivå)</t>
  </si>
  <si>
    <t>Definiera säkerhetsarkitektur</t>
  </si>
  <si>
    <t>Fastställ arkitekturprinciper</t>
  </si>
  <si>
    <t>Definiera NFR</t>
  </si>
  <si>
    <t>Definiera teknisk plattform</t>
  </si>
  <si>
    <t>Dokumentera målarkitektur</t>
  </si>
  <si>
    <t>Skapa MVP</t>
  </si>
  <si>
    <t>Strukturera story map till leveranspaket</t>
  </si>
  <si>
    <t>Skapa releaseplan</t>
  </si>
  <si>
    <t>Skapa produktroadmap</t>
  </si>
  <si>
    <t>Prioritera funktionalitet</t>
  </si>
  <si>
    <t>Identifiera tekniska beroenden</t>
  </si>
  <si>
    <t>Backlog refinement</t>
  </si>
  <si>
    <t>Leverans</t>
  </si>
  <si>
    <t>Sprintplanering</t>
  </si>
  <si>
    <t>Utveckling</t>
  </si>
  <si>
    <t>Kodgranskning</t>
  </si>
  <si>
    <t>Test</t>
  </si>
  <si>
    <t>Integration &amp; bygg (CI/CD)</t>
  </si>
  <si>
    <t>Demo</t>
  </si>
  <si>
    <t>Release</t>
  </si>
  <si>
    <t>Deployments</t>
  </si>
  <si>
    <t>Uppdatera dokumentation</t>
  </si>
  <si>
    <t>Uppföljning &amp; förbättring</t>
  </si>
  <si>
    <t>Utvärdera leveransresultat</t>
  </si>
  <si>
    <t>Repeat</t>
  </si>
  <si>
    <t>Utvärdera process &amp; arbetssätt</t>
  </si>
  <si>
    <t>Samla input för uppdaterad kravställning</t>
  </si>
  <si>
    <t>Identifiera arkitekturella lärdomar</t>
  </si>
  <si>
    <t>Förbereda nästa roadmap-iteration</t>
  </si>
  <si>
    <t>Förbereda nästa cykel</t>
  </si>
  <si>
    <t>Processsteg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</si>
</sst>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2" xfId="0" applyNumberFormat="1" applyFont="1" applyFill="1" applyBorder="1"/>
    <xf numFmtId="0" fontId="0" fillId="3" borderId="1" xfId="0" applyNumberFormat="1" applyFont="1" applyFill="1" applyBorder="1"/>
    <xf numFmtId="0" fontId="0" fillId="3" borderId="2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9199B6"/>
      <color rgb="FF143275"/>
      <color rgb="FF5968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ses-Gagnér, Rickard" refreshedDate="46104.683821990744" createdVersion="8" refreshedVersion="8" minRefreshableVersion="3" recordCount="207" xr:uid="{69026B49-2305-4F33-9E82-7B90FFEA7A78}">
  <cacheSource type="worksheet">
    <worksheetSource name="Artifacts"/>
  </cacheSource>
  <cacheFields count="6">
    <cacheField name="Column1" numFmtId="0">
      <sharedItems count="65">
        <s v="Övergripande behov"/>
        <s v="Vision &amp; målbild"/>
        <s v="Scope &amp; avgränsningar"/>
        <s v="Epics &amp; Capabilities"/>
        <s v="Stakeholderkarta"/>
        <s v="Beroendekarta"/>
        <s v="User Stories"/>
        <s v="Verksamhetsregler"/>
        <s v="Domänmodell"/>
        <s v="Begreppsmodell"/>
        <s v="User journeys"/>
        <s v="Story map"/>
        <s v="Funktionella block"/>
        <s v="Risker"/>
        <s v="Prioriterad backlog"/>
        <s v="KPI / värdemått"/>
        <s v="Uppföljningsmodell"/>
        <s v="Arkitekturmål"/>
        <s v="Arkitekturprinciper"/>
        <s v="Systemlandskap"/>
        <s v="Datamodell"/>
        <s v="Integrationsarkitektur"/>
        <s v="Integrationspunkter"/>
        <s v="API-specifikation"/>
        <s v="Dataägarskap"/>
        <s v="Säkerhetsarkitektur"/>
        <s v="Säkerhetsprinciper"/>
        <s v="Icke-funktionella krav (NFR)"/>
        <s v="Teknisk plattform"/>
        <s v="Målarkitektur"/>
        <s v="MVP-definition"/>
        <s v="Releasepaket"/>
        <s v="Releaseplan"/>
        <s v="Roadmap"/>
        <s v="Sekvensplan"/>
        <s v="Feedback"/>
        <s v="Arkitekturinsikter"/>
        <s v="Ready backlog"/>
        <s v="Teamkapacitet (behåll som egen artefakt)"/>
        <s v="Sprintmål"/>
        <s v="Sprint backlog"/>
        <s v="Produktinkrement"/>
        <s v="Kod för granskning"/>
        <s v="Verifierad funktionalitet"/>
        <s v="Kodförbättringar"/>
        <s v="Teststrategi"/>
        <s v="Testresultat"/>
        <s v="CI/CD-pipeline"/>
        <s v="Miljökonfiguration"/>
        <s v="Byggt system"/>
        <s v="Demo-underlag"/>
        <s v="Release notes"/>
        <s v="Deployment"/>
        <s v="Dokumentation"/>
        <s v="Förbättringsförslag"/>
        <s v="Retrospektiv"/>
        <s v="Leveransutvärdering"/>
        <s v="Funktionella förbättringar"/>
        <s v="Tekniska hinder"/>
        <s v="Processförbättringar"/>
        <s v="Kravställningsunderlag"/>
        <s v="Tekniska förbättringar"/>
        <s v="Roadmap-input"/>
        <s v="Roadmap-justering"/>
        <s v="Cykelstart-brief"/>
      </sharedItems>
    </cacheField>
    <cacheField name="SOP" numFmtId="0">
      <sharedItems count="44">
        <s v="docs\SOP\1.Kravställning\01_vision_och_malbild.md"/>
        <s v="docs\SOP\1.Kravställning\02_affarsmal_och_vardebild.md"/>
        <s v="docs\SOP\1.Kravställning\03_scope_och_avgransningar.md"/>
        <s v="docs\SOP\1.Kravställning\04_stakeholderkarta.md"/>
        <s v="docs\SOP\1.Kravställning\05_domananalys.md"/>
        <s v="docs\SOP\1.Kravställning\06_user_journeys.md"/>
        <s v="docs\SOP\1.Kravställning\07_skapa_story_map.md"/>
        <s v="docs\SOP\1.Kravställning\08_gruppera_i_epics_och_capabilities.md"/>
        <s v="docs\SOP\1.Kravställning\09_prioritera_backlog.md"/>
        <s v="docs\SOP\1.Kravställning\10_definiera_framgangskriterier.md"/>
        <s v="docs\SOP\2. Målarkitektur\01_Etablera arkitekturmål.md"/>
        <s v="docs\SOP\2. Målarkitektur\02_Definiera systemlandskap.md"/>
        <s v="docs\SOP\2. Målarkitektur\03_Definiera domänmodell.md"/>
        <s v="docs\SOP\2. Målarkitektur\04_Definiera integrationsarkitektu.md"/>
        <s v="docs\SOP\2. Målarkitektur\05_Definiera API‑struktur.md"/>
        <s v="docs\SOP\2. Målarkitektur\06_Definiera datamodell.md"/>
        <s v="docs\SOP\2. Målarkitektur\07_Definiera säkerhetsarkitektur.md"/>
        <s v="docs\SOP\2. Målarkitektur\08_Fastställ arkitekturprinciper.md"/>
        <s v="docs\SOP\2. Målarkitektur\09_Definiera NFR.md"/>
        <s v="docs\SOP\2. Målarkitektur\10_Definiera teknisk plattform.md"/>
        <s v="docs\SOP\2. Målarkitektur\11_ Dokumentera målarkitektur.md"/>
        <s v="docs\SOP\3. Roadmap\01_skapa_mvp.md"/>
        <s v="docs\SOP\3. Roadmap\02_Strukturera story map till leveranspaket.md"/>
        <s v="docs\SOP\3. Roadmap\03_Skapa releaseplan.md"/>
        <s v="docs\SOP\3. Roadmap\04_Skapa produktroadmap.md"/>
        <s v="docs\SOP\3. Roadmap\05_Prioritera funktionalitet.md"/>
        <s v="docs\SOP\3. Roadmap\06_Identifiera tekniska beroenden.md"/>
        <s v="docs\SOP\4. Leverans\01_backlog_refinement.md"/>
        <s v="docs\SOP\4. Leverans\02_sprintplanering.md"/>
        <s v="docs\SOP\4. Leverans\03_utveckling.md"/>
        <s v="docs\SOP\4. Leverans\04_kodgranskning.md"/>
        <s v="docs\SOP\4. Leverans\05_test.md"/>
        <s v="docs\SOP\4. Leverans\06_integration_och_bygg.md"/>
        <s v="docs\SOP\4. Leverans\07_demo.md"/>
        <s v="docs\SOP\4. Leverans\08_release.md"/>
        <s v="docs\SOP\4. Leverans\09_deployments.md"/>
        <s v="docs\SOP\4. Leverans\10_uppdatera_dokumentation.md"/>
        <s v="docs\SOP\4. Leverans\11_uppfoljning_och_forbattring.md"/>
        <s v="docs\SOP\5. Repeat\01_utvardera_leveransresultat.md"/>
        <s v="docs\SOP\5. Repeat\02_utvardera_process_och_arbetssatt.md"/>
        <s v="docs\SOP\5. Repeat\03_samla_input_for_uppdaterad_kravstallning.md"/>
        <s v="docs\SOP\5. Repeat\04_identifiera_arkitekturella_lardomar.md"/>
        <s v="docs\SOP\5. Repeat\05_Förbereda nästa roadmap‑iteration.md"/>
        <s v="docs\SOP\5. Repeat\06_Förbereda nästa cykel.md"/>
      </sharedItems>
    </cacheField>
    <cacheField name="Input or output" numFmtId="0">
      <sharedItems count="2">
        <s v="input"/>
        <s v="output"/>
      </sharedItems>
    </cacheField>
    <cacheField name="Responsible" numFmtId="0">
      <sharedItems/>
    </cacheField>
    <cacheField name="Column5" numFmtId="0">
      <sharedItems containsSemiMixedTypes="0" containsString="0" containsNumber="1" containsInteger="1" minValue="0" maxValue="3"/>
    </cacheField>
    <cacheField name="Responsible2" numFmtId="0">
      <sharedItems count="9">
        <s v="Business Analyst"/>
        <s v="UX"/>
        <s v="Lösningsarkitekt"/>
        <s v="Dataarkitekt"/>
        <s v="Teknisk Lead"/>
        <s v="Scrum Master"/>
        <s v="Utvecklare"/>
        <s v="Testare"/>
        <s v="DevOp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x v="0"/>
    <x v="0"/>
    <x v="0"/>
    <s v=""/>
    <n v="1"/>
    <x v="0"/>
  </r>
  <r>
    <x v="1"/>
    <x v="0"/>
    <x v="1"/>
    <s v="Business Analyst"/>
    <n v="2"/>
    <x v="0"/>
  </r>
  <r>
    <x v="0"/>
    <x v="1"/>
    <x v="0"/>
    <s v=""/>
    <n v="1"/>
    <x v="0"/>
  </r>
  <r>
    <x v="1"/>
    <x v="1"/>
    <x v="1"/>
    <s v="Business Analyst"/>
    <n v="2"/>
    <x v="0"/>
  </r>
  <r>
    <x v="1"/>
    <x v="2"/>
    <x v="0"/>
    <s v=""/>
    <n v="2"/>
    <x v="0"/>
  </r>
  <r>
    <x v="0"/>
    <x v="2"/>
    <x v="0"/>
    <s v=""/>
    <n v="1"/>
    <x v="0"/>
  </r>
  <r>
    <x v="2"/>
    <x v="2"/>
    <x v="1"/>
    <s v="Business Analyst"/>
    <n v="2"/>
    <x v="0"/>
  </r>
  <r>
    <x v="3"/>
    <x v="2"/>
    <x v="1"/>
    <s v="Business Analyst"/>
    <n v="2"/>
    <x v="0"/>
  </r>
  <r>
    <x v="2"/>
    <x v="2"/>
    <x v="1"/>
    <s v="Business Analyst"/>
    <n v="2"/>
    <x v="0"/>
  </r>
  <r>
    <x v="2"/>
    <x v="3"/>
    <x v="0"/>
    <s v=""/>
    <n v="2"/>
    <x v="0"/>
  </r>
  <r>
    <x v="1"/>
    <x v="3"/>
    <x v="0"/>
    <s v=""/>
    <n v="2"/>
    <x v="0"/>
  </r>
  <r>
    <x v="4"/>
    <x v="3"/>
    <x v="1"/>
    <s v="Business Analyst"/>
    <n v="1"/>
    <x v="0"/>
  </r>
  <r>
    <x v="5"/>
    <x v="3"/>
    <x v="1"/>
    <s v="Business Analyst"/>
    <n v="2"/>
    <x v="0"/>
  </r>
  <r>
    <x v="4"/>
    <x v="4"/>
    <x v="0"/>
    <s v=""/>
    <n v="1"/>
    <x v="0"/>
  </r>
  <r>
    <x v="6"/>
    <x v="4"/>
    <x v="0"/>
    <s v=""/>
    <n v="1"/>
    <x v="0"/>
  </r>
  <r>
    <x v="7"/>
    <x v="4"/>
    <x v="0"/>
    <s v=""/>
    <n v="0"/>
    <x v="0"/>
  </r>
  <r>
    <x v="8"/>
    <x v="4"/>
    <x v="1"/>
    <s v="Business Analyst"/>
    <n v="2"/>
    <x v="0"/>
  </r>
  <r>
    <x v="9"/>
    <x v="4"/>
    <x v="1"/>
    <s v="Business Analyst"/>
    <n v="2"/>
    <x v="0"/>
  </r>
  <r>
    <x v="8"/>
    <x v="5"/>
    <x v="0"/>
    <s v=""/>
    <n v="2"/>
    <x v="1"/>
  </r>
  <r>
    <x v="6"/>
    <x v="5"/>
    <x v="0"/>
    <s v=""/>
    <n v="1"/>
    <x v="1"/>
  </r>
  <r>
    <x v="4"/>
    <x v="5"/>
    <x v="0"/>
    <s v=""/>
    <n v="1"/>
    <x v="1"/>
  </r>
  <r>
    <x v="10"/>
    <x v="5"/>
    <x v="1"/>
    <s v="UX"/>
    <n v="1"/>
    <x v="1"/>
  </r>
  <r>
    <x v="0"/>
    <x v="5"/>
    <x v="1"/>
    <s v="UX"/>
    <n v="1"/>
    <x v="1"/>
  </r>
  <r>
    <x v="10"/>
    <x v="6"/>
    <x v="0"/>
    <s v=""/>
    <n v="1"/>
    <x v="0"/>
  </r>
  <r>
    <x v="8"/>
    <x v="6"/>
    <x v="0"/>
    <s v=""/>
    <n v="2"/>
    <x v="0"/>
  </r>
  <r>
    <x v="0"/>
    <x v="6"/>
    <x v="0"/>
    <s v=""/>
    <n v="1"/>
    <x v="0"/>
  </r>
  <r>
    <x v="11"/>
    <x v="6"/>
    <x v="1"/>
    <s v="Business Analyst"/>
    <n v="1"/>
    <x v="0"/>
  </r>
  <r>
    <x v="12"/>
    <x v="6"/>
    <x v="1"/>
    <s v="Business Analyst"/>
    <n v="1"/>
    <x v="0"/>
  </r>
  <r>
    <x v="11"/>
    <x v="7"/>
    <x v="0"/>
    <s v=""/>
    <n v="1"/>
    <x v="0"/>
  </r>
  <r>
    <x v="6"/>
    <x v="7"/>
    <x v="0"/>
    <s v=""/>
    <n v="1"/>
    <x v="0"/>
  </r>
  <r>
    <x v="3"/>
    <x v="7"/>
    <x v="1"/>
    <s v="Business Analyst"/>
    <n v="2"/>
    <x v="0"/>
  </r>
  <r>
    <x v="3"/>
    <x v="8"/>
    <x v="0"/>
    <s v=""/>
    <n v="2"/>
    <x v="0"/>
  </r>
  <r>
    <x v="1"/>
    <x v="8"/>
    <x v="0"/>
    <s v=""/>
    <n v="2"/>
    <x v="0"/>
  </r>
  <r>
    <x v="13"/>
    <x v="8"/>
    <x v="0"/>
    <s v=""/>
    <n v="0"/>
    <x v="0"/>
  </r>
  <r>
    <x v="14"/>
    <x v="8"/>
    <x v="1"/>
    <s v="Business Analyst"/>
    <n v="2"/>
    <x v="0"/>
  </r>
  <r>
    <x v="1"/>
    <x v="9"/>
    <x v="0"/>
    <s v=""/>
    <n v="2"/>
    <x v="0"/>
  </r>
  <r>
    <x v="14"/>
    <x v="9"/>
    <x v="0"/>
    <s v=""/>
    <n v="2"/>
    <x v="0"/>
  </r>
  <r>
    <x v="11"/>
    <x v="9"/>
    <x v="0"/>
    <s v=""/>
    <n v="1"/>
    <x v="0"/>
  </r>
  <r>
    <x v="15"/>
    <x v="9"/>
    <x v="1"/>
    <s v="Business Analyst"/>
    <n v="1"/>
    <x v="0"/>
  </r>
  <r>
    <x v="16"/>
    <x v="9"/>
    <x v="1"/>
    <s v="Business Analyst"/>
    <n v="1"/>
    <x v="0"/>
  </r>
  <r>
    <x v="0"/>
    <x v="10"/>
    <x v="0"/>
    <s v=""/>
    <n v="1"/>
    <x v="2"/>
  </r>
  <r>
    <x v="1"/>
    <x v="10"/>
    <x v="0"/>
    <s v=""/>
    <n v="2"/>
    <x v="2"/>
  </r>
  <r>
    <x v="2"/>
    <x v="10"/>
    <x v="0"/>
    <s v=""/>
    <n v="2"/>
    <x v="2"/>
  </r>
  <r>
    <x v="17"/>
    <x v="10"/>
    <x v="1"/>
    <s v="Lösningsarkitekt"/>
    <n v="1"/>
    <x v="2"/>
  </r>
  <r>
    <x v="18"/>
    <x v="10"/>
    <x v="1"/>
    <s v="Lösningsarkitekt"/>
    <n v="2"/>
    <x v="2"/>
  </r>
  <r>
    <x v="17"/>
    <x v="11"/>
    <x v="0"/>
    <s v=""/>
    <n v="1"/>
    <x v="2"/>
  </r>
  <r>
    <x v="0"/>
    <x v="11"/>
    <x v="0"/>
    <s v=""/>
    <n v="1"/>
    <x v="2"/>
  </r>
  <r>
    <x v="5"/>
    <x v="11"/>
    <x v="0"/>
    <s v=""/>
    <n v="2"/>
    <x v="2"/>
  </r>
  <r>
    <x v="19"/>
    <x v="11"/>
    <x v="1"/>
    <s v="Lösningsarkitekt"/>
    <n v="1"/>
    <x v="2"/>
  </r>
  <r>
    <x v="19"/>
    <x v="12"/>
    <x v="0"/>
    <s v=""/>
    <n v="1"/>
    <x v="0"/>
  </r>
  <r>
    <x v="9"/>
    <x v="12"/>
    <x v="0"/>
    <s v=""/>
    <n v="2"/>
    <x v="0"/>
  </r>
  <r>
    <x v="7"/>
    <x v="12"/>
    <x v="0"/>
    <s v=""/>
    <n v="0"/>
    <x v="0"/>
  </r>
  <r>
    <x v="8"/>
    <x v="12"/>
    <x v="1"/>
    <s v="Business Analyst"/>
    <n v="2"/>
    <x v="0"/>
  </r>
  <r>
    <x v="9"/>
    <x v="12"/>
    <x v="1"/>
    <s v="Business Analyst"/>
    <n v="2"/>
    <x v="0"/>
  </r>
  <r>
    <x v="19"/>
    <x v="13"/>
    <x v="0"/>
    <s v=""/>
    <n v="1"/>
    <x v="2"/>
  </r>
  <r>
    <x v="8"/>
    <x v="13"/>
    <x v="0"/>
    <s v=""/>
    <n v="2"/>
    <x v="2"/>
  </r>
  <r>
    <x v="20"/>
    <x v="13"/>
    <x v="0"/>
    <s v=""/>
    <n v="1"/>
    <x v="2"/>
  </r>
  <r>
    <x v="21"/>
    <x v="13"/>
    <x v="1"/>
    <s v="Lösningsarkitekt"/>
    <n v="1"/>
    <x v="2"/>
  </r>
  <r>
    <x v="22"/>
    <x v="13"/>
    <x v="1"/>
    <s v="Lösningsarkitekt"/>
    <n v="1"/>
    <x v="2"/>
  </r>
  <r>
    <x v="21"/>
    <x v="14"/>
    <x v="0"/>
    <s v=""/>
    <n v="1"/>
    <x v="2"/>
  </r>
  <r>
    <x v="8"/>
    <x v="14"/>
    <x v="0"/>
    <s v=""/>
    <n v="2"/>
    <x v="2"/>
  </r>
  <r>
    <x v="23"/>
    <x v="14"/>
    <x v="1"/>
    <s v="Lösningsarkitekt"/>
    <n v="1"/>
    <x v="2"/>
  </r>
  <r>
    <x v="8"/>
    <x v="15"/>
    <x v="0"/>
    <s v=""/>
    <n v="2"/>
    <x v="3"/>
  </r>
  <r>
    <x v="23"/>
    <x v="15"/>
    <x v="0"/>
    <s v=""/>
    <n v="1"/>
    <x v="3"/>
  </r>
  <r>
    <x v="21"/>
    <x v="15"/>
    <x v="0"/>
    <s v=""/>
    <n v="1"/>
    <x v="3"/>
  </r>
  <r>
    <x v="20"/>
    <x v="15"/>
    <x v="1"/>
    <s v="Dataarkitekt"/>
    <n v="1"/>
    <x v="3"/>
  </r>
  <r>
    <x v="24"/>
    <x v="15"/>
    <x v="1"/>
    <s v="Dataarkitekt"/>
    <n v="1"/>
    <x v="3"/>
  </r>
  <r>
    <x v="20"/>
    <x v="16"/>
    <x v="0"/>
    <s v=""/>
    <n v="1"/>
    <x v="2"/>
  </r>
  <r>
    <x v="21"/>
    <x v="16"/>
    <x v="0"/>
    <s v=""/>
    <n v="1"/>
    <x v="2"/>
  </r>
  <r>
    <x v="17"/>
    <x v="16"/>
    <x v="0"/>
    <s v=""/>
    <n v="1"/>
    <x v="2"/>
  </r>
  <r>
    <x v="25"/>
    <x v="16"/>
    <x v="1"/>
    <s v="Lösningsarkitekt"/>
    <n v="1"/>
    <x v="2"/>
  </r>
  <r>
    <x v="26"/>
    <x v="16"/>
    <x v="1"/>
    <s v="Lösningsarkitekt"/>
    <n v="1"/>
    <x v="2"/>
  </r>
  <r>
    <x v="17"/>
    <x v="17"/>
    <x v="0"/>
    <s v=""/>
    <n v="1"/>
    <x v="2"/>
  </r>
  <r>
    <x v="25"/>
    <x v="17"/>
    <x v="0"/>
    <s v=""/>
    <n v="1"/>
    <x v="2"/>
  </r>
  <r>
    <x v="21"/>
    <x v="17"/>
    <x v="0"/>
    <s v=""/>
    <n v="1"/>
    <x v="2"/>
  </r>
  <r>
    <x v="20"/>
    <x v="17"/>
    <x v="0"/>
    <s v=""/>
    <n v="1"/>
    <x v="2"/>
  </r>
  <r>
    <x v="23"/>
    <x v="17"/>
    <x v="0"/>
    <s v=""/>
    <n v="1"/>
    <x v="2"/>
  </r>
  <r>
    <x v="18"/>
    <x v="17"/>
    <x v="1"/>
    <s v="Lösningsarkitekt"/>
    <n v="2"/>
    <x v="2"/>
  </r>
  <r>
    <x v="18"/>
    <x v="18"/>
    <x v="0"/>
    <s v=""/>
    <n v="2"/>
    <x v="2"/>
  </r>
  <r>
    <x v="20"/>
    <x v="18"/>
    <x v="0"/>
    <s v=""/>
    <n v="1"/>
    <x v="2"/>
  </r>
  <r>
    <x v="25"/>
    <x v="18"/>
    <x v="0"/>
    <s v=""/>
    <n v="1"/>
    <x v="2"/>
  </r>
  <r>
    <x v="27"/>
    <x v="18"/>
    <x v="1"/>
    <s v="Lösningsarkitekt"/>
    <n v="1"/>
    <x v="2"/>
  </r>
  <r>
    <x v="18"/>
    <x v="19"/>
    <x v="0"/>
    <s v=""/>
    <n v="2"/>
    <x v="2"/>
  </r>
  <r>
    <x v="27"/>
    <x v="19"/>
    <x v="0"/>
    <s v=""/>
    <n v="1"/>
    <x v="2"/>
  </r>
  <r>
    <x v="22"/>
    <x v="19"/>
    <x v="0"/>
    <s v=""/>
    <n v="1"/>
    <x v="2"/>
  </r>
  <r>
    <x v="28"/>
    <x v="19"/>
    <x v="1"/>
    <s v="Lösningsarkitekt"/>
    <n v="1"/>
    <x v="2"/>
  </r>
  <r>
    <x v="29"/>
    <x v="19"/>
    <x v="1"/>
    <s v="Lösningsarkitekt"/>
    <n v="2"/>
    <x v="2"/>
  </r>
  <r>
    <x v="19"/>
    <x v="20"/>
    <x v="0"/>
    <s v=""/>
    <n v="1"/>
    <x v="2"/>
  </r>
  <r>
    <x v="8"/>
    <x v="20"/>
    <x v="0"/>
    <s v=""/>
    <n v="2"/>
    <x v="2"/>
  </r>
  <r>
    <x v="21"/>
    <x v="20"/>
    <x v="0"/>
    <s v=""/>
    <n v="1"/>
    <x v="2"/>
  </r>
  <r>
    <x v="23"/>
    <x v="20"/>
    <x v="0"/>
    <s v=""/>
    <n v="1"/>
    <x v="2"/>
  </r>
  <r>
    <x v="20"/>
    <x v="20"/>
    <x v="0"/>
    <s v=""/>
    <n v="1"/>
    <x v="2"/>
  </r>
  <r>
    <x v="25"/>
    <x v="20"/>
    <x v="0"/>
    <s v=""/>
    <n v="1"/>
    <x v="2"/>
  </r>
  <r>
    <x v="28"/>
    <x v="20"/>
    <x v="0"/>
    <s v=""/>
    <n v="1"/>
    <x v="2"/>
  </r>
  <r>
    <x v="29"/>
    <x v="20"/>
    <x v="1"/>
    <s v="Lösningsarkitekt"/>
    <n v="2"/>
    <x v="2"/>
  </r>
  <r>
    <x v="11"/>
    <x v="21"/>
    <x v="0"/>
    <s v=""/>
    <n v="1"/>
    <x v="0"/>
  </r>
  <r>
    <x v="3"/>
    <x v="21"/>
    <x v="0"/>
    <s v=""/>
    <n v="2"/>
    <x v="0"/>
  </r>
  <r>
    <x v="1"/>
    <x v="21"/>
    <x v="0"/>
    <s v=""/>
    <n v="2"/>
    <x v="0"/>
  </r>
  <r>
    <x v="30"/>
    <x v="21"/>
    <x v="1"/>
    <s v="Business Analyst"/>
    <n v="1"/>
    <x v="0"/>
  </r>
  <r>
    <x v="11"/>
    <x v="22"/>
    <x v="0"/>
    <s v=""/>
    <n v="1"/>
    <x v="0"/>
  </r>
  <r>
    <x v="30"/>
    <x v="22"/>
    <x v="0"/>
    <s v=""/>
    <n v="1"/>
    <x v="0"/>
  </r>
  <r>
    <x v="3"/>
    <x v="22"/>
    <x v="0"/>
    <s v=""/>
    <n v="2"/>
    <x v="0"/>
  </r>
  <r>
    <x v="31"/>
    <x v="22"/>
    <x v="1"/>
    <s v="Business Analyst"/>
    <n v="2"/>
    <x v="0"/>
  </r>
  <r>
    <x v="31"/>
    <x v="23"/>
    <x v="0"/>
    <s v=""/>
    <n v="2"/>
    <x v="0"/>
  </r>
  <r>
    <x v="30"/>
    <x v="23"/>
    <x v="0"/>
    <s v=""/>
    <n v="1"/>
    <x v="0"/>
  </r>
  <r>
    <x v="5"/>
    <x v="23"/>
    <x v="0"/>
    <s v=""/>
    <n v="2"/>
    <x v="0"/>
  </r>
  <r>
    <x v="32"/>
    <x v="23"/>
    <x v="1"/>
    <s v="Business Analyst"/>
    <n v="1"/>
    <x v="0"/>
  </r>
  <r>
    <x v="32"/>
    <x v="24"/>
    <x v="0"/>
    <s v=""/>
    <n v="1"/>
    <x v="0"/>
  </r>
  <r>
    <x v="14"/>
    <x v="24"/>
    <x v="0"/>
    <s v=""/>
    <n v="2"/>
    <x v="0"/>
  </r>
  <r>
    <x v="5"/>
    <x v="24"/>
    <x v="0"/>
    <s v=""/>
    <n v="2"/>
    <x v="0"/>
  </r>
  <r>
    <x v="33"/>
    <x v="24"/>
    <x v="1"/>
    <s v="Business Analyst"/>
    <n v="1"/>
    <x v="0"/>
  </r>
  <r>
    <x v="31"/>
    <x v="25"/>
    <x v="0"/>
    <s v=""/>
    <n v="2"/>
    <x v="0"/>
  </r>
  <r>
    <x v="5"/>
    <x v="25"/>
    <x v="0"/>
    <s v=""/>
    <n v="2"/>
    <x v="0"/>
  </r>
  <r>
    <x v="30"/>
    <x v="25"/>
    <x v="0"/>
    <s v=""/>
    <n v="1"/>
    <x v="0"/>
  </r>
  <r>
    <x v="15"/>
    <x v="25"/>
    <x v="0"/>
    <s v=""/>
    <n v="1"/>
    <x v="0"/>
  </r>
  <r>
    <x v="14"/>
    <x v="25"/>
    <x v="1"/>
    <s v="Business Analyst"/>
    <n v="2"/>
    <x v="0"/>
  </r>
  <r>
    <x v="31"/>
    <x v="26"/>
    <x v="0"/>
    <s v=""/>
    <n v="2"/>
    <x v="4"/>
  </r>
  <r>
    <x v="8"/>
    <x v="26"/>
    <x v="0"/>
    <s v=""/>
    <n v="2"/>
    <x v="4"/>
  </r>
  <r>
    <x v="21"/>
    <x v="26"/>
    <x v="0"/>
    <s v=""/>
    <n v="1"/>
    <x v="4"/>
  </r>
  <r>
    <x v="5"/>
    <x v="26"/>
    <x v="1"/>
    <s v="Teknisk Lead"/>
    <n v="2"/>
    <x v="4"/>
  </r>
  <r>
    <x v="34"/>
    <x v="26"/>
    <x v="1"/>
    <s v="Teknisk Lead"/>
    <n v="1"/>
    <x v="4"/>
  </r>
  <r>
    <x v="14"/>
    <x v="27"/>
    <x v="0"/>
    <s v=""/>
    <n v="2"/>
    <x v="0"/>
  </r>
  <r>
    <x v="35"/>
    <x v="27"/>
    <x v="0"/>
    <s v=""/>
    <n v="1"/>
    <x v="0"/>
  </r>
  <r>
    <x v="36"/>
    <x v="27"/>
    <x v="0"/>
    <s v=""/>
    <n v="1"/>
    <x v="0"/>
  </r>
  <r>
    <x v="6"/>
    <x v="27"/>
    <x v="1"/>
    <s v="Business Analyst"/>
    <n v="1"/>
    <x v="0"/>
  </r>
  <r>
    <x v="37"/>
    <x v="27"/>
    <x v="1"/>
    <s v="Business Analyst"/>
    <n v="1"/>
    <x v="0"/>
  </r>
  <r>
    <x v="37"/>
    <x v="28"/>
    <x v="0"/>
    <s v=""/>
    <n v="1"/>
    <x v="5"/>
  </r>
  <r>
    <x v="38"/>
    <x v="28"/>
    <x v="0"/>
    <s v=""/>
    <n v="0"/>
    <x v="5"/>
  </r>
  <r>
    <x v="14"/>
    <x v="28"/>
    <x v="0"/>
    <s v=""/>
    <n v="2"/>
    <x v="5"/>
  </r>
  <r>
    <x v="39"/>
    <x v="28"/>
    <x v="1"/>
    <s v="Scrum Master"/>
    <n v="1"/>
    <x v="5"/>
  </r>
  <r>
    <x v="40"/>
    <x v="28"/>
    <x v="1"/>
    <s v="Scrum Master"/>
    <n v="1"/>
    <x v="5"/>
  </r>
  <r>
    <x v="40"/>
    <x v="29"/>
    <x v="0"/>
    <s v=""/>
    <n v="1"/>
    <x v="6"/>
  </r>
  <r>
    <x v="18"/>
    <x v="29"/>
    <x v="0"/>
    <s v=""/>
    <n v="2"/>
    <x v="6"/>
  </r>
  <r>
    <x v="18"/>
    <x v="29"/>
    <x v="0"/>
    <s v=""/>
    <n v="2"/>
    <x v="6"/>
  </r>
  <r>
    <x v="41"/>
    <x v="29"/>
    <x v="1"/>
    <s v="Utvecklare"/>
    <n v="2"/>
    <x v="6"/>
  </r>
  <r>
    <x v="42"/>
    <x v="29"/>
    <x v="1"/>
    <s v="Utvecklare"/>
    <n v="1"/>
    <x v="6"/>
  </r>
  <r>
    <x v="42"/>
    <x v="30"/>
    <x v="0"/>
    <s v=""/>
    <n v="1"/>
    <x v="6"/>
  </r>
  <r>
    <x v="18"/>
    <x v="30"/>
    <x v="0"/>
    <s v=""/>
    <n v="2"/>
    <x v="6"/>
  </r>
  <r>
    <x v="18"/>
    <x v="30"/>
    <x v="0"/>
    <s v=""/>
    <n v="2"/>
    <x v="6"/>
  </r>
  <r>
    <x v="43"/>
    <x v="30"/>
    <x v="1"/>
    <s v="Utvecklare"/>
    <n v="3"/>
    <x v="6"/>
  </r>
  <r>
    <x v="44"/>
    <x v="30"/>
    <x v="1"/>
    <s v="Utvecklare"/>
    <n v="1"/>
    <x v="6"/>
  </r>
  <r>
    <x v="43"/>
    <x v="31"/>
    <x v="0"/>
    <s v=""/>
    <n v="3"/>
    <x v="7"/>
  </r>
  <r>
    <x v="6"/>
    <x v="31"/>
    <x v="0"/>
    <s v=""/>
    <n v="1"/>
    <x v="7"/>
  </r>
  <r>
    <x v="45"/>
    <x v="31"/>
    <x v="0"/>
    <s v=""/>
    <n v="0"/>
    <x v="7"/>
  </r>
  <r>
    <x v="46"/>
    <x v="31"/>
    <x v="1"/>
    <s v="Testare"/>
    <n v="1"/>
    <x v="7"/>
  </r>
  <r>
    <x v="43"/>
    <x v="31"/>
    <x v="1"/>
    <s v="Testare"/>
    <n v="3"/>
    <x v="7"/>
  </r>
  <r>
    <x v="43"/>
    <x v="32"/>
    <x v="0"/>
    <s v=""/>
    <n v="3"/>
    <x v="8"/>
  </r>
  <r>
    <x v="47"/>
    <x v="32"/>
    <x v="0"/>
    <s v=""/>
    <n v="0"/>
    <x v="8"/>
  </r>
  <r>
    <x v="48"/>
    <x v="32"/>
    <x v="0"/>
    <s v=""/>
    <n v="0"/>
    <x v="8"/>
  </r>
  <r>
    <x v="49"/>
    <x v="32"/>
    <x v="1"/>
    <s v="DevOps"/>
    <n v="1"/>
    <x v="8"/>
  </r>
  <r>
    <x v="50"/>
    <x v="32"/>
    <x v="1"/>
    <s v="DevOps"/>
    <n v="1"/>
    <x v="8"/>
  </r>
  <r>
    <x v="41"/>
    <x v="33"/>
    <x v="0"/>
    <s v=""/>
    <n v="2"/>
    <x v="6"/>
  </r>
  <r>
    <x v="39"/>
    <x v="33"/>
    <x v="0"/>
    <s v=""/>
    <n v="1"/>
    <x v="6"/>
  </r>
  <r>
    <x v="35"/>
    <x v="33"/>
    <x v="1"/>
    <s v="Utvecklare"/>
    <n v="1"/>
    <x v="6"/>
  </r>
  <r>
    <x v="43"/>
    <x v="33"/>
    <x v="1"/>
    <s v="Utvecklare"/>
    <n v="3"/>
    <x v="6"/>
  </r>
  <r>
    <x v="43"/>
    <x v="34"/>
    <x v="0"/>
    <s v=""/>
    <n v="3"/>
    <x v="8"/>
  </r>
  <r>
    <x v="31"/>
    <x v="34"/>
    <x v="0"/>
    <s v=""/>
    <n v="2"/>
    <x v="8"/>
  </r>
  <r>
    <x v="31"/>
    <x v="34"/>
    <x v="1"/>
    <s v="DevOps"/>
    <n v="2"/>
    <x v="8"/>
  </r>
  <r>
    <x v="51"/>
    <x v="34"/>
    <x v="1"/>
    <s v="DevOps"/>
    <n v="1"/>
    <x v="8"/>
  </r>
  <r>
    <x v="31"/>
    <x v="35"/>
    <x v="0"/>
    <s v=""/>
    <n v="2"/>
    <x v="8"/>
  </r>
  <r>
    <x v="48"/>
    <x v="35"/>
    <x v="0"/>
    <s v=""/>
    <n v="0"/>
    <x v="8"/>
  </r>
  <r>
    <x v="41"/>
    <x v="35"/>
    <x v="1"/>
    <s v="DevOps"/>
    <n v="2"/>
    <x v="8"/>
  </r>
  <r>
    <x v="52"/>
    <x v="35"/>
    <x v="1"/>
    <s v="DevOps"/>
    <n v="1"/>
    <x v="8"/>
  </r>
  <r>
    <x v="51"/>
    <x v="36"/>
    <x v="0"/>
    <s v=""/>
    <n v="1"/>
    <x v="0"/>
  </r>
  <r>
    <x v="41"/>
    <x v="36"/>
    <x v="0"/>
    <s v=""/>
    <n v="2"/>
    <x v="0"/>
  </r>
  <r>
    <x v="23"/>
    <x v="36"/>
    <x v="0"/>
    <s v=""/>
    <n v="1"/>
    <x v="0"/>
  </r>
  <r>
    <x v="53"/>
    <x v="36"/>
    <x v="1"/>
    <s v="Business Analyst"/>
    <n v="1"/>
    <x v="0"/>
  </r>
  <r>
    <x v="52"/>
    <x v="37"/>
    <x v="0"/>
    <s v=""/>
    <n v="1"/>
    <x v="5"/>
  </r>
  <r>
    <x v="53"/>
    <x v="37"/>
    <x v="0"/>
    <s v=""/>
    <n v="1"/>
    <x v="5"/>
  </r>
  <r>
    <x v="35"/>
    <x v="37"/>
    <x v="0"/>
    <s v=""/>
    <n v="1"/>
    <x v="5"/>
  </r>
  <r>
    <x v="41"/>
    <x v="37"/>
    <x v="0"/>
    <s v=""/>
    <n v="2"/>
    <x v="5"/>
  </r>
  <r>
    <x v="54"/>
    <x v="37"/>
    <x v="1"/>
    <s v="Scrum Master"/>
    <n v="1"/>
    <x v="5"/>
  </r>
  <r>
    <x v="55"/>
    <x v="37"/>
    <x v="1"/>
    <s v="Scrum Master"/>
    <n v="2"/>
    <x v="5"/>
  </r>
  <r>
    <x v="41"/>
    <x v="38"/>
    <x v="0"/>
    <s v=""/>
    <n v="2"/>
    <x v="0"/>
  </r>
  <r>
    <x v="35"/>
    <x v="38"/>
    <x v="0"/>
    <s v=""/>
    <n v="1"/>
    <x v="0"/>
  </r>
  <r>
    <x v="51"/>
    <x v="38"/>
    <x v="0"/>
    <s v=""/>
    <n v="1"/>
    <x v="0"/>
  </r>
  <r>
    <x v="15"/>
    <x v="38"/>
    <x v="0"/>
    <s v=""/>
    <n v="1"/>
    <x v="0"/>
  </r>
  <r>
    <x v="56"/>
    <x v="38"/>
    <x v="1"/>
    <s v="Business Analyst"/>
    <n v="1"/>
    <x v="0"/>
  </r>
  <r>
    <x v="57"/>
    <x v="38"/>
    <x v="1"/>
    <s v="Business Analyst"/>
    <n v="1"/>
    <x v="0"/>
  </r>
  <r>
    <x v="41"/>
    <x v="39"/>
    <x v="0"/>
    <s v=""/>
    <n v="2"/>
    <x v="5"/>
  </r>
  <r>
    <x v="58"/>
    <x v="39"/>
    <x v="0"/>
    <s v=""/>
    <n v="0"/>
    <x v="5"/>
  </r>
  <r>
    <x v="56"/>
    <x v="39"/>
    <x v="0"/>
    <s v=""/>
    <n v="1"/>
    <x v="5"/>
  </r>
  <r>
    <x v="55"/>
    <x v="39"/>
    <x v="1"/>
    <s v="Scrum Master"/>
    <n v="2"/>
    <x v="5"/>
  </r>
  <r>
    <x v="59"/>
    <x v="39"/>
    <x v="1"/>
    <s v="Scrum Master"/>
    <n v="1"/>
    <x v="5"/>
  </r>
  <r>
    <x v="56"/>
    <x v="40"/>
    <x v="0"/>
    <s v=""/>
    <n v="1"/>
    <x v="0"/>
  </r>
  <r>
    <x v="55"/>
    <x v="40"/>
    <x v="0"/>
    <s v=""/>
    <n v="2"/>
    <x v="0"/>
  </r>
  <r>
    <x v="35"/>
    <x v="40"/>
    <x v="0"/>
    <s v=""/>
    <n v="1"/>
    <x v="0"/>
  </r>
  <r>
    <x v="54"/>
    <x v="40"/>
    <x v="0"/>
    <s v=""/>
    <n v="1"/>
    <x v="0"/>
  </r>
  <r>
    <x v="0"/>
    <x v="40"/>
    <x v="0"/>
    <s v=""/>
    <n v="1"/>
    <x v="0"/>
  </r>
  <r>
    <x v="54"/>
    <x v="40"/>
    <x v="0"/>
    <s v=""/>
    <n v="1"/>
    <x v="0"/>
  </r>
  <r>
    <x v="60"/>
    <x v="40"/>
    <x v="1"/>
    <s v="Business Analyst"/>
    <n v="2"/>
    <x v="0"/>
  </r>
  <r>
    <x v="58"/>
    <x v="41"/>
    <x v="0"/>
    <s v=""/>
    <n v="0"/>
    <x v="2"/>
  </r>
  <r>
    <x v="58"/>
    <x v="41"/>
    <x v="0"/>
    <s v=""/>
    <n v="0"/>
    <x v="2"/>
  </r>
  <r>
    <x v="56"/>
    <x v="41"/>
    <x v="0"/>
    <s v=""/>
    <n v="1"/>
    <x v="2"/>
  </r>
  <r>
    <x v="36"/>
    <x v="41"/>
    <x v="1"/>
    <s v="Lösningsarkitekt"/>
    <n v="1"/>
    <x v="2"/>
  </r>
  <r>
    <x v="61"/>
    <x v="41"/>
    <x v="1"/>
    <s v="Lösningsarkitekt"/>
    <n v="1"/>
    <x v="2"/>
  </r>
  <r>
    <x v="36"/>
    <x v="42"/>
    <x v="0"/>
    <s v=""/>
    <n v="1"/>
    <x v="0"/>
  </r>
  <r>
    <x v="5"/>
    <x v="42"/>
    <x v="0"/>
    <s v=""/>
    <n v="2"/>
    <x v="0"/>
  </r>
  <r>
    <x v="13"/>
    <x v="42"/>
    <x v="0"/>
    <s v=""/>
    <n v="0"/>
    <x v="0"/>
  </r>
  <r>
    <x v="14"/>
    <x v="42"/>
    <x v="0"/>
    <s v=""/>
    <n v="2"/>
    <x v="0"/>
  </r>
  <r>
    <x v="62"/>
    <x v="42"/>
    <x v="1"/>
    <s v="Business Analyst"/>
    <n v="1"/>
    <x v="0"/>
  </r>
  <r>
    <x v="63"/>
    <x v="42"/>
    <x v="1"/>
    <s v="Business Analyst"/>
    <n v="1"/>
    <x v="0"/>
  </r>
  <r>
    <x v="36"/>
    <x v="43"/>
    <x v="0"/>
    <s v=""/>
    <n v="1"/>
    <x v="0"/>
  </r>
  <r>
    <x v="62"/>
    <x v="43"/>
    <x v="0"/>
    <s v=""/>
    <n v="1"/>
    <x v="0"/>
  </r>
  <r>
    <x v="54"/>
    <x v="43"/>
    <x v="0"/>
    <s v=""/>
    <n v="1"/>
    <x v="0"/>
  </r>
  <r>
    <x v="60"/>
    <x v="43"/>
    <x v="1"/>
    <s v="Business Analyst"/>
    <n v="2"/>
    <x v="0"/>
  </r>
  <r>
    <x v="64"/>
    <x v="43"/>
    <x v="1"/>
    <s v="Business Analyst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7B4C42-F1AF-49ED-A50F-0076BC252B00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9" firstHeaderRow="1" firstDataRow="1" firstDataCol="2" rowPageCount="2" colPageCount="1"/>
  <pivotFields count="6">
    <pivotField axis="axisRow" outline="0" showAll="0" defaultSubtotal="0">
      <items count="65">
        <item x="23"/>
        <item x="36"/>
        <item x="17"/>
        <item x="18"/>
        <item x="9"/>
        <item x="5"/>
        <item x="49"/>
        <item x="47"/>
        <item x="64"/>
        <item x="20"/>
        <item x="24"/>
        <item x="50"/>
        <item x="52"/>
        <item x="53"/>
        <item x="8"/>
        <item x="3"/>
        <item x="35"/>
        <item x="12"/>
        <item x="57"/>
        <item x="54"/>
        <item x="27"/>
        <item x="21"/>
        <item x="22"/>
        <item x="42"/>
        <item x="44"/>
        <item x="15"/>
        <item x="60"/>
        <item x="56"/>
        <item x="48"/>
        <item x="30"/>
        <item x="29"/>
        <item x="14"/>
        <item x="59"/>
        <item x="41"/>
        <item x="37"/>
        <item x="51"/>
        <item x="31"/>
        <item x="32"/>
        <item x="55"/>
        <item x="13"/>
        <item x="33"/>
        <item x="62"/>
        <item x="63"/>
        <item x="2"/>
        <item x="34"/>
        <item x="40"/>
        <item x="39"/>
        <item x="4"/>
        <item x="11"/>
        <item x="19"/>
        <item x="25"/>
        <item x="26"/>
        <item x="38"/>
        <item x="28"/>
        <item x="61"/>
        <item x="58"/>
        <item x="46"/>
        <item x="45"/>
        <item x="16"/>
        <item x="10"/>
        <item x="6"/>
        <item x="43"/>
        <item x="7"/>
        <item x="1"/>
        <item x="0"/>
      </items>
    </pivotField>
    <pivotField axis="axisPage" multipleItemSelectionAllowed="1" showAll="0">
      <items count="45">
        <item x="0"/>
        <item x="1"/>
        <item x="2"/>
        <item x="3"/>
        <item x="4"/>
        <item x="5"/>
        <item x="6"/>
        <item x="7"/>
        <item x="8"/>
        <item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axis="axisRow" showAll="0">
      <items count="10">
        <item x="0"/>
        <item x="3"/>
        <item x="8"/>
        <item x="2"/>
        <item x="5"/>
        <item x="4"/>
        <item x="7"/>
        <item x="6"/>
        <item x="1"/>
        <item t="default"/>
      </items>
    </pivotField>
  </pivotFields>
  <rowFields count="2">
    <field x="0"/>
    <field x="5"/>
  </rowFields>
  <rowItems count="15">
    <i>
      <x v="4"/>
      <x/>
    </i>
    <i>
      <x v="5"/>
      <x/>
    </i>
    <i>
      <x v="14"/>
      <x/>
    </i>
    <i>
      <x v="15"/>
      <x/>
    </i>
    <i>
      <x v="17"/>
      <x/>
    </i>
    <i>
      <x v="25"/>
      <x/>
    </i>
    <i>
      <x v="31"/>
      <x/>
    </i>
    <i>
      <x v="43"/>
      <x/>
    </i>
    <i>
      <x v="47"/>
      <x/>
    </i>
    <i>
      <x v="48"/>
      <x/>
    </i>
    <i>
      <x v="58"/>
      <x/>
    </i>
    <i>
      <x v="59"/>
      <x v="8"/>
    </i>
    <i>
      <x v="63"/>
      <x/>
    </i>
    <i>
      <x v="64"/>
      <x v="8"/>
    </i>
    <i t="grand">
      <x/>
    </i>
  </rowItems>
  <colItems count="1">
    <i/>
  </colItems>
  <pageFields count="2">
    <pageField fld="2" item="1" hier="-1"/>
    <pageField fld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B9C090-AC60-42A1-9127-9509A4DC230D}" autoFormatId="16" applyNumberFormats="0" applyBorderFormats="0" applyFontFormats="0" applyPatternFormats="0" applyAlignmentFormats="0" applyWidthHeightFormats="0">
  <queryTableRefresh nextId="13" unboundColumnsRight="7">
    <queryTableFields count="10">
      <queryTableField id="1" name="Column1" tableColumnId="1"/>
      <queryTableField id="2" name="Column2" tableColumnId="2"/>
      <queryTableField id="3" name="Column3" tableColumnId="3"/>
      <queryTableField id="5" dataBound="0" tableColumnId="5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  <queryTableDeletedFields count="1">
      <deletedField name="Column4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A515A09-ACF3-41F4-BEEE-1B82A9541FD4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72C3FE0-7FD9-4AE9-879A-D0A5191326F5}" autoFormatId="16" applyNumberFormats="0" applyBorderFormats="0" applyFontFormats="0" applyPatternFormats="0" applyAlignmentFormats="0" applyWidthHeightFormats="0">
  <queryTableRefresh nextId="5">
    <queryTableFields count="3">
      <queryTableField id="2" name="Column2" tableColumnId="2"/>
      <queryTableField id="4" dataBound="0" tableColumnId="4"/>
      <queryTableField id="3" name="Column3" tableColumnId="3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3F491E-9505-4DB7-9BE2-A75F7F077135}" name="Artifacts" displayName="Artifacts" ref="A1:J208" tableType="queryTable" totalsRowShown="0">
  <autoFilter ref="A1:J208" xr:uid="{713F491E-9505-4DB7-9BE2-A75F7F077135}">
    <filterColumn colId="2">
      <filters>
        <filter val="output"/>
      </filters>
    </filterColumn>
  </autoFilter>
  <sortState xmlns:xlrd2="http://schemas.microsoft.com/office/spreadsheetml/2017/richdata2" ref="A3:H208">
    <sortCondition ref="B8:B208"/>
  </sortState>
  <tableColumns count="10">
    <tableColumn id="1" xr3:uid="{A7348989-75C8-4CF3-93F8-14B0D49372EB}" uniqueName="1" name="Artifact" queryTableFieldId="1" dataDxfId="16"/>
    <tableColumn id="2" xr3:uid="{69714EDF-4FFE-4F97-AB28-94DF088FF069}" uniqueName="2" name="SOP" queryTableFieldId="2" dataDxfId="15"/>
    <tableColumn id="3" xr3:uid="{1C3CEBD3-1F5B-4EBE-8122-6EA88B6B5CF1}" uniqueName="3" name="Input or output" queryTableFieldId="3" dataDxfId="14"/>
    <tableColumn id="5" xr3:uid="{C3CCAE0E-967B-4030-A938-2606C159E2A3}" uniqueName="5" name="Column5" queryTableFieldId="5" dataDxfId="13">
      <calculatedColumnFormula>COUNTIFS(Artifacts[Artifact],Artifacts[[#This Row],[Artifact]],Artifacts[Input or output],"output")</calculatedColumnFormula>
    </tableColumn>
    <tableColumn id="7" xr3:uid="{1C1B7F40-E303-4B90-A26C-CBEA19F56274}" uniqueName="7" name="Responsible" queryTableFieldId="7" dataDxfId="12">
      <calculatedColumnFormula array="1">VLOOKUP(Artifacts[[#This Row],[SOP]],_xlfn._xlws.FILTER(Roles[],Roles[Type of RACI]="R"),2,FALSE)</calculatedColumnFormula>
    </tableColumn>
    <tableColumn id="8" xr3:uid="{7E71146D-E761-4134-9E52-CCFBD8DA3DD4}" uniqueName="8" name="Responsible3" queryTableFieldId="8" dataDxfId="7">
      <calculatedColumnFormula array="1">VLOOKUP(Artifacts[[#This Row],[SOP]],_xlfn._xlws.FILTER(Roles[],Roles[Type of RACI]="A"),2,FALSE)</calculatedColumnFormula>
    </tableColumn>
    <tableColumn id="9" xr3:uid="{FE9CDB98-9191-40EA-BE93-53E4831910E5}" uniqueName="9" name="Consulted" queryTableFieldId="9" dataDxfId="6">
      <calculatedColumnFormula array="1">VLOOKUP(Artifacts[[#This Row],[SOP]],_xlfn._xlws.FILTER(Roles[],Roles[Type of RACI]="C"),2,FALSE)</calculatedColumnFormula>
    </tableColumn>
    <tableColumn id="10" xr3:uid="{0672BC6D-7986-4BBD-A19B-A9AAF1F9AB87}" uniqueName="10" name="Informed" queryTableFieldId="10" dataDxfId="5">
      <calculatedColumnFormula array="1">VLOOKUP(Artifacts[[#This Row],[SOP]],_xlfn._xlws.FILTER(Roles[],Roles[Type of RACI]="I"),2,FALSE)</calculatedColumnFormula>
    </tableColumn>
    <tableColumn id="11" xr3:uid="{46FBFD78-A74A-48F6-87CD-EDD823E03360}" uniqueName="11" name="Processsteg" queryTableFieldId="11" dataDxfId="1">
      <calculatedColumnFormula>VLOOKUP(Artifacts[[#This Row],[SOP]],SOP[#All],3,FALSE)</calculatedColumnFormula>
    </tableColumn>
    <tableColumn id="12" xr3:uid="{1BA6D61F-FE71-4A31-96D9-BB5BF6155F3F}" uniqueName="12" name="Delprocess" queryTableFieldId="12" dataDxfId="0">
      <calculatedColumnFormula>VLOOKUP(Artifacts[[#This Row],[SOP]],SOP[#All],2,FALSE)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30FE88-76B0-492F-BA43-27D893B572AD}" name="SOP" displayName="SOP" ref="A1:C46" tableType="queryTable" totalsRowShown="0">
  <autoFilter ref="A1:C46" xr:uid="{9F30FE88-76B0-492F-BA43-27D893B572AD}"/>
  <tableColumns count="3">
    <tableColumn id="1" xr3:uid="{9E5BECCC-ED22-4397-952D-17F3C62557E7}" uniqueName="1" name="Column1" queryTableFieldId="1" dataDxfId="4"/>
    <tableColumn id="2" xr3:uid="{0C8A5493-488F-41C1-A3DE-EDBC4ECB6AA0}" uniqueName="2" name="Column2" queryTableFieldId="2" dataDxfId="3"/>
    <tableColumn id="3" xr3:uid="{B007A420-0B29-4F96-8216-3A5D0F4C051A}" uniqueName="3" name="Column3" queryTableFieldId="3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60E88E-B26A-4277-83F7-0E68C2F76381}" name="Roles" displayName="Roles" ref="A1:C196" tableType="queryTable" totalsRowShown="0" headerRowDxfId="11">
  <autoFilter ref="A1:C196" xr:uid="{3460E88E-B26A-4277-83F7-0E68C2F76381}"/>
  <tableColumns count="3">
    <tableColumn id="2" xr3:uid="{96EE8123-7D66-4EC2-918F-777F4FB03F3F}" uniqueName="2" name="SOP" queryTableFieldId="2" dataDxfId="10"/>
    <tableColumn id="4" xr3:uid="{123199D4-188D-45ED-AF2E-FEFE0A829498}" uniqueName="4" name="Role2" queryTableFieldId="4" dataDxfId="9"/>
    <tableColumn id="3" xr3:uid="{002D872D-6C8D-4864-B463-657ECA3A56C7}" uniqueName="3" name="Type of RACI" queryTableFieldId="3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_Skanska_word och excel">
  <a:themeElements>
    <a:clrScheme name="Custom 7">
      <a:dk1>
        <a:srgbClr val="000000"/>
      </a:dk1>
      <a:lt1>
        <a:srgbClr val="FFFFFF"/>
      </a:lt1>
      <a:dk2>
        <a:srgbClr val="143275"/>
      </a:dk2>
      <a:lt2>
        <a:srgbClr val="ECECEC"/>
      </a:lt2>
      <a:accent1>
        <a:srgbClr val="143275"/>
      </a:accent1>
      <a:accent2>
        <a:srgbClr val="596891"/>
      </a:accent2>
      <a:accent3>
        <a:srgbClr val="3ECE7B"/>
      </a:accent3>
      <a:accent4>
        <a:srgbClr val="9199B6"/>
      </a:accent4>
      <a:accent5>
        <a:srgbClr val="C7CCDA"/>
      </a:accent5>
      <a:accent6>
        <a:srgbClr val="EBEBEB"/>
      </a:accent6>
      <a:hlink>
        <a:srgbClr val="143275"/>
      </a:hlink>
      <a:folHlink>
        <a:srgbClr val="143275"/>
      </a:folHlink>
    </a:clrScheme>
    <a:fontScheme name="Skansk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1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accent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algn="l">
          <a:defRPr dirty="0" smtClean="0">
            <a:solidFill>
              <a:schemeClr val="accent1"/>
            </a:solidFill>
          </a:defRPr>
        </a:defPPr>
      </a:lstStyle>
    </a:txDef>
  </a:objectDefaults>
  <a:extraClrSchemeLst/>
  <a:custClrLst>
    <a:custClr name="Active Blue">
      <a:srgbClr val="2356E5"/>
    </a:custClr>
    <a:custClr name="Skanska Green">
      <a:srgbClr val="AEDDBC"/>
    </a:custClr>
    <a:custClr name="Active Yellow">
      <a:srgbClr val="FBED54"/>
    </a:custClr>
    <a:custClr name="Active Orange">
      <a:srgbClr val="F58713"/>
    </a:custClr>
    <a:custClr name="Active Red">
      <a:srgbClr val="EE2F53"/>
    </a:custClr>
    <a:custClr name="Purple">
      <a:srgbClr val="824A8E"/>
    </a:custClr>
    <a:custClr name="Pale Blue">
      <a:srgbClr val="3C589E"/>
    </a:custClr>
    <a:custClr name="Teal">
      <a:srgbClr val="4B9FA3"/>
    </a:custClr>
    <a:custClr name="Beige">
      <a:srgbClr val="DDD6C0"/>
    </a:custClr>
    <a:custClr name="Yellow">
      <a:srgbClr val="F4DD7D"/>
    </a:custClr>
    <a:custClr name="Orange">
      <a:srgbClr val="EDA977"/>
    </a:custClr>
    <a:custClr name="Red">
      <a:srgbClr val="AF3149"/>
    </a:custClr>
  </a:custClrLst>
  <a:extLst>
    <a:ext uri="{05A4C25C-085E-4340-85A3-A5531E510DB2}">
      <thm15:themeFamily xmlns:thm15="http://schemas.microsoft.com/office/thememl/2012/main" name="Tema_Skanska_word och excel" id="{469A82B8-D435-5E4E-94F6-6908983A25E1}" vid="{F0C83175-63BA-904A-B747-3804779EB5C2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351D-5831-4DFE-BA4A-80FF37E38142}">
  <dimension ref="A1:B19"/>
  <sheetViews>
    <sheetView workbookViewId="0">
      <selection activeCell="B2" sqref="B2"/>
    </sheetView>
  </sheetViews>
  <sheetFormatPr defaultRowHeight="15" x14ac:dyDescent="0.2"/>
  <cols>
    <col min="1" max="1" width="38.77734375" customWidth="1"/>
    <col min="2" max="2" width="41.109375" customWidth="1"/>
  </cols>
  <sheetData>
    <row r="1" spans="1:2" x14ac:dyDescent="0.2">
      <c r="A1" s="5" t="s">
        <v>5</v>
      </c>
      <c r="B1" t="s">
        <v>11</v>
      </c>
    </row>
    <row r="2" spans="1:2" x14ac:dyDescent="0.2">
      <c r="A2" s="5" t="s">
        <v>4</v>
      </c>
      <c r="B2" t="s">
        <v>140</v>
      </c>
    </row>
    <row r="4" spans="1:2" x14ac:dyDescent="0.2">
      <c r="A4" s="5" t="s">
        <v>139</v>
      </c>
      <c r="B4" s="5" t="s">
        <v>142</v>
      </c>
    </row>
    <row r="5" spans="1:2" x14ac:dyDescent="0.2">
      <c r="A5" s="6" t="s">
        <v>24</v>
      </c>
      <c r="B5" s="6" t="s">
        <v>12</v>
      </c>
    </row>
    <row r="6" spans="1:2" x14ac:dyDescent="0.2">
      <c r="A6" s="6" t="s">
        <v>19</v>
      </c>
      <c r="B6" s="6" t="s">
        <v>12</v>
      </c>
    </row>
    <row r="7" spans="1:2" x14ac:dyDescent="0.2">
      <c r="A7" s="6" t="s">
        <v>23</v>
      </c>
      <c r="B7" s="6" t="s">
        <v>12</v>
      </c>
    </row>
    <row r="8" spans="1:2" x14ac:dyDescent="0.2">
      <c r="A8" s="6" t="s">
        <v>16</v>
      </c>
      <c r="B8" s="6" t="s">
        <v>12</v>
      </c>
    </row>
    <row r="9" spans="1:2" x14ac:dyDescent="0.2">
      <c r="A9" s="6" t="s">
        <v>30</v>
      </c>
      <c r="B9" s="6" t="s">
        <v>12</v>
      </c>
    </row>
    <row r="10" spans="1:2" x14ac:dyDescent="0.2">
      <c r="A10" s="6" t="s">
        <v>36</v>
      </c>
      <c r="B10" s="6" t="s">
        <v>12</v>
      </c>
    </row>
    <row r="11" spans="1:2" x14ac:dyDescent="0.2">
      <c r="A11" s="6" t="s">
        <v>34</v>
      </c>
      <c r="B11" s="6" t="s">
        <v>12</v>
      </c>
    </row>
    <row r="12" spans="1:2" x14ac:dyDescent="0.2">
      <c r="A12" s="6" t="s">
        <v>15</v>
      </c>
      <c r="B12" s="6" t="s">
        <v>12</v>
      </c>
    </row>
    <row r="13" spans="1:2" x14ac:dyDescent="0.2">
      <c r="A13" s="6" t="s">
        <v>18</v>
      </c>
      <c r="B13" s="6" t="s">
        <v>12</v>
      </c>
    </row>
    <row r="14" spans="1:2" x14ac:dyDescent="0.2">
      <c r="A14" s="6" t="s">
        <v>29</v>
      </c>
      <c r="B14" s="6" t="s">
        <v>12</v>
      </c>
    </row>
    <row r="15" spans="1:2" x14ac:dyDescent="0.2">
      <c r="A15" s="6" t="s">
        <v>37</v>
      </c>
      <c r="B15" s="6" t="s">
        <v>12</v>
      </c>
    </row>
    <row r="16" spans="1:2" x14ac:dyDescent="0.2">
      <c r="A16" s="6" t="s">
        <v>26</v>
      </c>
      <c r="B16" s="6" t="s">
        <v>27</v>
      </c>
    </row>
    <row r="17" spans="1:2" x14ac:dyDescent="0.2">
      <c r="A17" s="6" t="s">
        <v>10</v>
      </c>
      <c r="B17" s="6" t="s">
        <v>12</v>
      </c>
    </row>
    <row r="18" spans="1:2" x14ac:dyDescent="0.2">
      <c r="A18" s="6" t="s">
        <v>7</v>
      </c>
      <c r="B18" s="6" t="s">
        <v>27</v>
      </c>
    </row>
    <row r="19" spans="1:2" x14ac:dyDescent="0.2">
      <c r="A19" s="6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1ED2F-6770-4321-8308-2FC43A2A94ED}">
  <dimension ref="A1:J208"/>
  <sheetViews>
    <sheetView tabSelected="1" workbookViewId="0">
      <selection activeCell="B83" sqref="B83"/>
    </sheetView>
  </sheetViews>
  <sheetFormatPr defaultRowHeight="15" x14ac:dyDescent="0.2"/>
  <cols>
    <col min="1" max="1" width="33.6640625" bestFit="1" customWidth="1"/>
    <col min="2" max="2" width="57.21875" bestFit="1" customWidth="1"/>
    <col min="3" max="3" width="11.6640625" bestFit="1" customWidth="1"/>
    <col min="5" max="5" width="23.5546875" customWidth="1"/>
    <col min="6" max="6" width="15.44140625" bestFit="1" customWidth="1"/>
    <col min="7" max="8" width="17.77734375" bestFit="1" customWidth="1"/>
    <col min="9" max="9" width="13" customWidth="1"/>
    <col min="10" max="10" width="32.33203125" bestFit="1" customWidth="1"/>
  </cols>
  <sheetData>
    <row r="1" spans="1:10" x14ac:dyDescent="0.2">
      <c r="A1" t="s">
        <v>3</v>
      </c>
      <c r="B1" s="1" t="s">
        <v>4</v>
      </c>
      <c r="C1" s="1" t="s">
        <v>5</v>
      </c>
      <c r="D1" t="s">
        <v>127</v>
      </c>
      <c r="E1" t="s">
        <v>6</v>
      </c>
      <c r="F1" t="s">
        <v>143</v>
      </c>
      <c r="G1" t="s">
        <v>144</v>
      </c>
      <c r="H1" t="s">
        <v>145</v>
      </c>
      <c r="I1" t="s">
        <v>193</v>
      </c>
      <c r="J1" t="s">
        <v>146</v>
      </c>
    </row>
    <row r="2" spans="1:10" hidden="1" x14ac:dyDescent="0.2">
      <c r="A2" s="1" t="s">
        <v>7</v>
      </c>
      <c r="B2" s="1" t="s">
        <v>8</v>
      </c>
      <c r="C2" s="1" t="s">
        <v>9</v>
      </c>
      <c r="D2" s="1">
        <f>COUNTIFS(Artifacts[Artifact],Artifacts[[#This Row],[Artifact]],Artifacts[Input or output],"output")</f>
        <v>1</v>
      </c>
      <c r="E2" s="1" t="str" cm="1">
        <f t="array" ref="E2">VLOOKUP(Artifacts[[#This Row],[SOP]],_xlfn._xlws.FILTER(Roles[],Roles[Type of RACI]="R"),2,FALSE)</f>
        <v>Business Analyst</v>
      </c>
      <c r="F2" s="1" t="str" cm="1">
        <f t="array" ref="F2">VLOOKUP(Artifacts[[#This Row],[SOP]],_xlfn._xlws.FILTER(Roles[],Roles[Type of RACI]="A"),2,FALSE)</f>
        <v>Produktägare</v>
      </c>
      <c r="G2" s="1" t="str" cm="1">
        <f t="array" ref="G2">VLOOKUP(Artifacts[[#This Row],[SOP]],_xlfn._xlws.FILTER(Roles[],Roles[Type of RACI]="C"),2,FALSE)</f>
        <v>Verksamhetsexperter</v>
      </c>
      <c r="H2" s="1" t="str" cm="1">
        <f t="array" ref="H2">VLOOKUP(Artifacts[[#This Row],[SOP]],_xlfn._xlws.FILTER(Roles[],Roles[Type of RACI]="I"),2,FALSE)</f>
        <v>Projektledare</v>
      </c>
      <c r="I2" s="1" t="str">
        <f>VLOOKUP(Artifacts[[#This Row],[SOP]],SOP[#All],3,FALSE)</f>
        <v>Kravställning</v>
      </c>
      <c r="J2" s="1" t="str">
        <f>VLOOKUP(Artifacts[[#This Row],[SOP]],SOP[#All],2,FALSE)</f>
        <v>Vision &amp; målbild</v>
      </c>
    </row>
    <row r="3" spans="1:10" x14ac:dyDescent="0.2">
      <c r="A3" s="1" t="s">
        <v>10</v>
      </c>
      <c r="B3" s="1" t="s">
        <v>8</v>
      </c>
      <c r="C3" s="1" t="s">
        <v>11</v>
      </c>
      <c r="D3" s="1">
        <f>COUNTIFS(Artifacts[Artifact],Artifacts[[#This Row],[Artifact]],Artifacts[Input or output],"output")</f>
        <v>2</v>
      </c>
      <c r="E3" s="1" t="str" cm="1">
        <f t="array" ref="E3">VLOOKUP(Artifacts[[#This Row],[SOP]],_xlfn._xlws.FILTER(Roles[],Roles[Type of RACI]="R"),2,FALSE)</f>
        <v>Business Analyst</v>
      </c>
      <c r="F3" s="1" t="str" cm="1">
        <f t="array" ref="F3">VLOOKUP(Artifacts[[#This Row],[SOP]],_xlfn._xlws.FILTER(Roles[],Roles[Type of RACI]="A"),2,FALSE)</f>
        <v>Produktägare</v>
      </c>
      <c r="G3" s="1" t="str" cm="1">
        <f t="array" ref="G3">VLOOKUP(Artifacts[[#This Row],[SOP]],_xlfn._xlws.FILTER(Roles[],Roles[Type of RACI]="C"),2,FALSE)</f>
        <v>Verksamhetsexperter</v>
      </c>
      <c r="H3" s="1" t="str" cm="1">
        <f t="array" ref="H3">VLOOKUP(Artifacts[[#This Row],[SOP]],_xlfn._xlws.FILTER(Roles[],Roles[Type of RACI]="I"),2,FALSE)</f>
        <v>Projektledare</v>
      </c>
      <c r="I3" s="1" t="str">
        <f>VLOOKUP(Artifacts[[#This Row],[SOP]],SOP[#All],3,FALSE)</f>
        <v>Kravställning</v>
      </c>
      <c r="J3" s="1" t="str">
        <f>VLOOKUP(Artifacts[[#This Row],[SOP]],SOP[#All],2,FALSE)</f>
        <v>Vision &amp; målbild</v>
      </c>
    </row>
    <row r="4" spans="1:10" hidden="1" x14ac:dyDescent="0.2">
      <c r="A4" s="1" t="s">
        <v>7</v>
      </c>
      <c r="B4" s="1" t="s">
        <v>13</v>
      </c>
      <c r="C4" s="1" t="s">
        <v>9</v>
      </c>
      <c r="D4" s="1">
        <f>COUNTIFS(Artifacts[Artifact],Artifacts[[#This Row],[Artifact]],Artifacts[Input or output],"output")</f>
        <v>1</v>
      </c>
      <c r="E4" s="1" t="str" cm="1">
        <f t="array" ref="E4">VLOOKUP(Artifacts[[#This Row],[SOP]],_xlfn._xlws.FILTER(Roles[],Roles[Type of RACI]="R"),2,FALSE)</f>
        <v>Business Analyst</v>
      </c>
      <c r="F4" s="1" t="str" cm="1">
        <f t="array" ref="F4">VLOOKUP(Artifacts[[#This Row],[SOP]],_xlfn._xlws.FILTER(Roles[],Roles[Type of RACI]="A"),2,FALSE)</f>
        <v>Produktägare</v>
      </c>
      <c r="G4" s="1" t="str" cm="1">
        <f t="array" ref="G4">VLOOKUP(Artifacts[[#This Row],[SOP]],_xlfn._xlws.FILTER(Roles[],Roles[Type of RACI]="C"),2,FALSE)</f>
        <v>Verksamhetsexperter</v>
      </c>
      <c r="H4" s="1" t="str" cm="1">
        <f t="array" ref="H4">VLOOKUP(Artifacts[[#This Row],[SOP]],_xlfn._xlws.FILTER(Roles[],Roles[Type of RACI]="I"),2,FALSE)</f>
        <v>Projektledare</v>
      </c>
      <c r="I4" s="1" t="str">
        <f>VLOOKUP(Artifacts[[#This Row],[SOP]],SOP[#All],3,FALSE)</f>
        <v>Kravställning</v>
      </c>
      <c r="J4" s="1" t="str">
        <f>VLOOKUP(Artifacts[[#This Row],[SOP]],SOP[#All],2,FALSE)</f>
        <v>Affärsmål &amp; värdebild</v>
      </c>
    </row>
    <row r="5" spans="1:10" x14ac:dyDescent="0.2">
      <c r="A5" s="1" t="s">
        <v>10</v>
      </c>
      <c r="B5" s="1" t="s">
        <v>13</v>
      </c>
      <c r="C5" s="1" t="s">
        <v>11</v>
      </c>
      <c r="D5" s="1">
        <f>COUNTIFS(Artifacts[Artifact],Artifacts[[#This Row],[Artifact]],Artifacts[Input or output],"output")</f>
        <v>2</v>
      </c>
      <c r="E5" s="1" t="str" cm="1">
        <f t="array" ref="E5">VLOOKUP(Artifacts[[#This Row],[SOP]],_xlfn._xlws.FILTER(Roles[],Roles[Type of RACI]="R"),2,FALSE)</f>
        <v>Business Analyst</v>
      </c>
      <c r="F5" s="1" t="str" cm="1">
        <f t="array" ref="F5">VLOOKUP(Artifacts[[#This Row],[SOP]],_xlfn._xlws.FILTER(Roles[],Roles[Type of RACI]="A"),2,FALSE)</f>
        <v>Produktägare</v>
      </c>
      <c r="G5" s="1" t="str" cm="1">
        <f t="array" ref="G5">VLOOKUP(Artifacts[[#This Row],[SOP]],_xlfn._xlws.FILTER(Roles[],Roles[Type of RACI]="C"),2,FALSE)</f>
        <v>Verksamhetsexperter</v>
      </c>
      <c r="H5" s="1" t="str" cm="1">
        <f t="array" ref="H5">VLOOKUP(Artifacts[[#This Row],[SOP]],_xlfn._xlws.FILTER(Roles[],Roles[Type of RACI]="I"),2,FALSE)</f>
        <v>Projektledare</v>
      </c>
      <c r="I5" s="1" t="str">
        <f>VLOOKUP(Artifacts[[#This Row],[SOP]],SOP[#All],3,FALSE)</f>
        <v>Kravställning</v>
      </c>
      <c r="J5" s="1" t="str">
        <f>VLOOKUP(Artifacts[[#This Row],[SOP]],SOP[#All],2,FALSE)</f>
        <v>Affärsmål &amp; värdebild</v>
      </c>
    </row>
    <row r="6" spans="1:10" hidden="1" x14ac:dyDescent="0.2">
      <c r="A6" s="1" t="s">
        <v>10</v>
      </c>
      <c r="B6" s="1" t="s">
        <v>14</v>
      </c>
      <c r="C6" s="1" t="s">
        <v>9</v>
      </c>
      <c r="D6" s="1">
        <f>COUNTIFS(Artifacts[Artifact],Artifacts[[#This Row],[Artifact]],Artifacts[Input or output],"output")</f>
        <v>2</v>
      </c>
      <c r="E6" s="1" t="str" cm="1">
        <f t="array" ref="E6">VLOOKUP(Artifacts[[#This Row],[SOP]],_xlfn._xlws.FILTER(Roles[],Roles[Type of RACI]="R"),2,FALSE)</f>
        <v>Business Analyst</v>
      </c>
      <c r="F6" s="1" t="str" cm="1">
        <f t="array" ref="F6">VLOOKUP(Artifacts[[#This Row],[SOP]],_xlfn._xlws.FILTER(Roles[],Roles[Type of RACI]="A"),2,FALSE)</f>
        <v>Produktägare</v>
      </c>
      <c r="G6" s="1" t="str" cm="1">
        <f t="array" ref="G6">VLOOKUP(Artifacts[[#This Row],[SOP]],_xlfn._xlws.FILTER(Roles[],Roles[Type of RACI]="C"),2,FALSE)</f>
        <v>Verksamhetsexperter</v>
      </c>
      <c r="H6" s="1" t="str" cm="1">
        <f t="array" ref="H6">VLOOKUP(Artifacts[[#This Row],[SOP]],_xlfn._xlws.FILTER(Roles[],Roles[Type of RACI]="I"),2,FALSE)</f>
        <v>Projektledare</v>
      </c>
      <c r="I6" s="1" t="str">
        <f>VLOOKUP(Artifacts[[#This Row],[SOP]],SOP[#All],3,FALSE)</f>
        <v>Kravställning</v>
      </c>
      <c r="J6" s="1" t="str">
        <f>VLOOKUP(Artifacts[[#This Row],[SOP]],SOP[#All],2,FALSE)</f>
        <v>Scope &amp; avgränsningar</v>
      </c>
    </row>
    <row r="7" spans="1:10" hidden="1" x14ac:dyDescent="0.2">
      <c r="A7" s="1" t="s">
        <v>7</v>
      </c>
      <c r="B7" s="1" t="s">
        <v>14</v>
      </c>
      <c r="C7" s="1" t="s">
        <v>9</v>
      </c>
      <c r="D7" s="1">
        <f>COUNTIFS(Artifacts[Artifact],Artifacts[[#This Row],[Artifact]],Artifacts[Input or output],"output")</f>
        <v>1</v>
      </c>
      <c r="E7" s="1" t="str" cm="1">
        <f t="array" ref="E7">VLOOKUP(Artifacts[[#This Row],[SOP]],_xlfn._xlws.FILTER(Roles[],Roles[Type of RACI]="R"),2,FALSE)</f>
        <v>Business Analyst</v>
      </c>
      <c r="F7" s="1" t="str" cm="1">
        <f t="array" ref="F7">VLOOKUP(Artifacts[[#This Row],[SOP]],_xlfn._xlws.FILTER(Roles[],Roles[Type of RACI]="A"),2,FALSE)</f>
        <v>Produktägare</v>
      </c>
      <c r="G7" s="1" t="str" cm="1">
        <f t="array" ref="G7">VLOOKUP(Artifacts[[#This Row],[SOP]],_xlfn._xlws.FILTER(Roles[],Roles[Type of RACI]="C"),2,FALSE)</f>
        <v>Verksamhetsexperter</v>
      </c>
      <c r="H7" s="1" t="str" cm="1">
        <f t="array" ref="H7">VLOOKUP(Artifacts[[#This Row],[SOP]],_xlfn._xlws.FILTER(Roles[],Roles[Type of RACI]="I"),2,FALSE)</f>
        <v>Projektledare</v>
      </c>
      <c r="I7" s="1" t="str">
        <f>VLOOKUP(Artifacts[[#This Row],[SOP]],SOP[#All],3,FALSE)</f>
        <v>Kravställning</v>
      </c>
      <c r="J7" s="1" t="str">
        <f>VLOOKUP(Artifacts[[#This Row],[SOP]],SOP[#All],2,FALSE)</f>
        <v>Scope &amp; avgränsningar</v>
      </c>
    </row>
    <row r="8" spans="1:10" x14ac:dyDescent="0.2">
      <c r="A8" s="1" t="s">
        <v>15</v>
      </c>
      <c r="B8" s="1" t="s">
        <v>14</v>
      </c>
      <c r="C8" s="1" t="s">
        <v>11</v>
      </c>
      <c r="D8" s="1">
        <f>COUNTIFS(Artifacts[Artifact],Artifacts[[#This Row],[Artifact]],Artifacts[Input or output],"output")</f>
        <v>2</v>
      </c>
      <c r="E8" s="1" t="str" cm="1">
        <f t="array" ref="E8">VLOOKUP(Artifacts[[#This Row],[SOP]],_xlfn._xlws.FILTER(Roles[],Roles[Type of RACI]="R"),2,FALSE)</f>
        <v>Business Analyst</v>
      </c>
      <c r="F8" s="1" t="str" cm="1">
        <f t="array" ref="F8">VLOOKUP(Artifacts[[#This Row],[SOP]],_xlfn._xlws.FILTER(Roles[],Roles[Type of RACI]="A"),2,FALSE)</f>
        <v>Produktägare</v>
      </c>
      <c r="G8" s="1" t="str" cm="1">
        <f t="array" ref="G8">VLOOKUP(Artifacts[[#This Row],[SOP]],_xlfn._xlws.FILTER(Roles[],Roles[Type of RACI]="C"),2,FALSE)</f>
        <v>Verksamhetsexperter</v>
      </c>
      <c r="H8" s="1" t="str" cm="1">
        <f t="array" ref="H8">VLOOKUP(Artifacts[[#This Row],[SOP]],_xlfn._xlws.FILTER(Roles[],Roles[Type of RACI]="I"),2,FALSE)</f>
        <v>Projektledare</v>
      </c>
      <c r="I8" s="1" t="str">
        <f>VLOOKUP(Artifacts[[#This Row],[SOP]],SOP[#All],3,FALSE)</f>
        <v>Kravställning</v>
      </c>
      <c r="J8" s="1" t="str">
        <f>VLOOKUP(Artifacts[[#This Row],[SOP]],SOP[#All],2,FALSE)</f>
        <v>Scope &amp; avgränsningar</v>
      </c>
    </row>
    <row r="9" spans="1:10" x14ac:dyDescent="0.2">
      <c r="A9" s="1" t="s">
        <v>16</v>
      </c>
      <c r="B9" s="1" t="s">
        <v>14</v>
      </c>
      <c r="C9" s="1" t="s">
        <v>11</v>
      </c>
      <c r="D9" s="1">
        <f>COUNTIFS(Artifacts[Artifact],Artifacts[[#This Row],[Artifact]],Artifacts[Input or output],"output")</f>
        <v>2</v>
      </c>
      <c r="E9" s="1" t="str" cm="1">
        <f t="array" ref="E9">VLOOKUP(Artifacts[[#This Row],[SOP]],_xlfn._xlws.FILTER(Roles[],Roles[Type of RACI]="R"),2,FALSE)</f>
        <v>Business Analyst</v>
      </c>
      <c r="F9" s="1" t="str" cm="1">
        <f t="array" ref="F9">VLOOKUP(Artifacts[[#This Row],[SOP]],_xlfn._xlws.FILTER(Roles[],Roles[Type of RACI]="A"),2,FALSE)</f>
        <v>Produktägare</v>
      </c>
      <c r="G9" s="1" t="str" cm="1">
        <f t="array" ref="G9">VLOOKUP(Artifacts[[#This Row],[SOP]],_xlfn._xlws.FILTER(Roles[],Roles[Type of RACI]="C"),2,FALSE)</f>
        <v>Verksamhetsexperter</v>
      </c>
      <c r="H9" s="1" t="str" cm="1">
        <f t="array" ref="H9">VLOOKUP(Artifacts[[#This Row],[SOP]],_xlfn._xlws.FILTER(Roles[],Roles[Type of RACI]="I"),2,FALSE)</f>
        <v>Projektledare</v>
      </c>
      <c r="I9" s="1" t="str">
        <f>VLOOKUP(Artifacts[[#This Row],[SOP]],SOP[#All],3,FALSE)</f>
        <v>Kravställning</v>
      </c>
      <c r="J9" s="1" t="str">
        <f>VLOOKUP(Artifacts[[#This Row],[SOP]],SOP[#All],2,FALSE)</f>
        <v>Scope &amp; avgränsningar</v>
      </c>
    </row>
    <row r="10" spans="1:10" x14ac:dyDescent="0.2">
      <c r="A10" s="1" t="s">
        <v>15</v>
      </c>
      <c r="B10" s="1" t="s">
        <v>14</v>
      </c>
      <c r="C10" s="1" t="s">
        <v>11</v>
      </c>
      <c r="D10" s="1">
        <f>COUNTIFS(Artifacts[Artifact],Artifacts[[#This Row],[Artifact]],Artifacts[Input or output],"output")</f>
        <v>2</v>
      </c>
      <c r="E10" s="1" t="str" cm="1">
        <f t="array" ref="E10">VLOOKUP(Artifacts[[#This Row],[SOP]],_xlfn._xlws.FILTER(Roles[],Roles[Type of RACI]="R"),2,FALSE)</f>
        <v>Business Analyst</v>
      </c>
      <c r="F10" s="1" t="str" cm="1">
        <f t="array" ref="F10">VLOOKUP(Artifacts[[#This Row],[SOP]],_xlfn._xlws.FILTER(Roles[],Roles[Type of RACI]="A"),2,FALSE)</f>
        <v>Produktägare</v>
      </c>
      <c r="G10" s="1" t="str" cm="1">
        <f t="array" ref="G10">VLOOKUP(Artifacts[[#This Row],[SOP]],_xlfn._xlws.FILTER(Roles[],Roles[Type of RACI]="C"),2,FALSE)</f>
        <v>Verksamhetsexperter</v>
      </c>
      <c r="H10" s="1" t="str" cm="1">
        <f t="array" ref="H10">VLOOKUP(Artifacts[[#This Row],[SOP]],_xlfn._xlws.FILTER(Roles[],Roles[Type of RACI]="I"),2,FALSE)</f>
        <v>Projektledare</v>
      </c>
      <c r="I10" s="1" t="str">
        <f>VLOOKUP(Artifacts[[#This Row],[SOP]],SOP[#All],3,FALSE)</f>
        <v>Kravställning</v>
      </c>
      <c r="J10" s="1" t="str">
        <f>VLOOKUP(Artifacts[[#This Row],[SOP]],SOP[#All],2,FALSE)</f>
        <v>Scope &amp; avgränsningar</v>
      </c>
    </row>
    <row r="11" spans="1:10" hidden="1" x14ac:dyDescent="0.2">
      <c r="A11" s="1" t="s">
        <v>15</v>
      </c>
      <c r="B11" s="1" t="s">
        <v>17</v>
      </c>
      <c r="C11" s="1" t="s">
        <v>9</v>
      </c>
      <c r="D11" s="1">
        <f>COUNTIFS(Artifacts[Artifact],Artifacts[[#This Row],[Artifact]],Artifacts[Input or output],"output")</f>
        <v>2</v>
      </c>
      <c r="E11" s="1" t="str" cm="1">
        <f t="array" ref="E11">VLOOKUP(Artifacts[[#This Row],[SOP]],_xlfn._xlws.FILTER(Roles[],Roles[Type of RACI]="R"),2,FALSE)</f>
        <v>Business Analyst</v>
      </c>
      <c r="F11" s="1" t="str" cm="1">
        <f t="array" ref="F11">VLOOKUP(Artifacts[[#This Row],[SOP]],_xlfn._xlws.FILTER(Roles[],Roles[Type of RACI]="A"),2,FALSE)</f>
        <v>Produktägare</v>
      </c>
      <c r="G11" s="1" t="str" cm="1">
        <f t="array" ref="G11">VLOOKUP(Artifacts[[#This Row],[SOP]],_xlfn._xlws.FILTER(Roles[],Roles[Type of RACI]="C"),2,FALSE)</f>
        <v>Verksamhetsexperter</v>
      </c>
      <c r="H11" s="1" t="str" cm="1">
        <f t="array" ref="H11">VLOOKUP(Artifacts[[#This Row],[SOP]],_xlfn._xlws.FILTER(Roles[],Roles[Type of RACI]="I"),2,FALSE)</f>
        <v>Utvecklare</v>
      </c>
      <c r="I11" s="1" t="str">
        <f>VLOOKUP(Artifacts[[#This Row],[SOP]],SOP[#All],3,FALSE)</f>
        <v>Kravställning</v>
      </c>
      <c r="J11" s="1" t="str">
        <f>VLOOKUP(Artifacts[[#This Row],[SOP]],SOP[#All],2,FALSE)</f>
        <v>Stakeholder-karta</v>
      </c>
    </row>
    <row r="12" spans="1:10" hidden="1" x14ac:dyDescent="0.2">
      <c r="A12" s="1" t="s">
        <v>10</v>
      </c>
      <c r="B12" s="1" t="s">
        <v>17</v>
      </c>
      <c r="C12" s="1" t="s">
        <v>9</v>
      </c>
      <c r="D12" s="1">
        <f>COUNTIFS(Artifacts[Artifact],Artifacts[[#This Row],[Artifact]],Artifacts[Input or output],"output")</f>
        <v>2</v>
      </c>
      <c r="E12" s="1" t="str" cm="1">
        <f t="array" ref="E12">VLOOKUP(Artifacts[[#This Row],[SOP]],_xlfn._xlws.FILTER(Roles[],Roles[Type of RACI]="R"),2,FALSE)</f>
        <v>Business Analyst</v>
      </c>
      <c r="F12" s="1" t="str" cm="1">
        <f t="array" ref="F12">VLOOKUP(Artifacts[[#This Row],[SOP]],_xlfn._xlws.FILTER(Roles[],Roles[Type of RACI]="A"),2,FALSE)</f>
        <v>Produktägare</v>
      </c>
      <c r="G12" s="1" t="str" cm="1">
        <f t="array" ref="G12">VLOOKUP(Artifacts[[#This Row],[SOP]],_xlfn._xlws.FILTER(Roles[],Roles[Type of RACI]="C"),2,FALSE)</f>
        <v>Verksamhetsexperter</v>
      </c>
      <c r="H12" s="1" t="str" cm="1">
        <f t="array" ref="H12">VLOOKUP(Artifacts[[#This Row],[SOP]],_xlfn._xlws.FILTER(Roles[],Roles[Type of RACI]="I"),2,FALSE)</f>
        <v>Utvecklare</v>
      </c>
      <c r="I12" s="1" t="str">
        <f>VLOOKUP(Artifacts[[#This Row],[SOP]],SOP[#All],3,FALSE)</f>
        <v>Kravställning</v>
      </c>
      <c r="J12" s="1" t="str">
        <f>VLOOKUP(Artifacts[[#This Row],[SOP]],SOP[#All],2,FALSE)</f>
        <v>Stakeholder-karta</v>
      </c>
    </row>
    <row r="13" spans="1:10" x14ac:dyDescent="0.2">
      <c r="A13" s="1" t="s">
        <v>18</v>
      </c>
      <c r="B13" s="1" t="s">
        <v>17</v>
      </c>
      <c r="C13" s="1" t="s">
        <v>11</v>
      </c>
      <c r="D13" s="1">
        <f>COUNTIFS(Artifacts[Artifact],Artifacts[[#This Row],[Artifact]],Artifacts[Input or output],"output")</f>
        <v>1</v>
      </c>
      <c r="E13" s="1" t="str" cm="1">
        <f t="array" ref="E13">VLOOKUP(Artifacts[[#This Row],[SOP]],_xlfn._xlws.FILTER(Roles[],Roles[Type of RACI]="R"),2,FALSE)</f>
        <v>Business Analyst</v>
      </c>
      <c r="F13" s="1" t="str" cm="1">
        <f t="array" ref="F13">VLOOKUP(Artifacts[[#This Row],[SOP]],_xlfn._xlws.FILTER(Roles[],Roles[Type of RACI]="A"),2,FALSE)</f>
        <v>Produktägare</v>
      </c>
      <c r="G13" s="1" t="str" cm="1">
        <f t="array" ref="G13">VLOOKUP(Artifacts[[#This Row],[SOP]],_xlfn._xlws.FILTER(Roles[],Roles[Type of RACI]="C"),2,FALSE)</f>
        <v>Verksamhetsexperter</v>
      </c>
      <c r="H13" s="1" t="str" cm="1">
        <f t="array" ref="H13">VLOOKUP(Artifacts[[#This Row],[SOP]],_xlfn._xlws.FILTER(Roles[],Roles[Type of RACI]="I"),2,FALSE)</f>
        <v>Utvecklare</v>
      </c>
      <c r="I13" s="1" t="str">
        <f>VLOOKUP(Artifacts[[#This Row],[SOP]],SOP[#All],3,FALSE)</f>
        <v>Kravställning</v>
      </c>
      <c r="J13" s="1" t="str">
        <f>VLOOKUP(Artifacts[[#This Row],[SOP]],SOP[#All],2,FALSE)</f>
        <v>Stakeholder-karta</v>
      </c>
    </row>
    <row r="14" spans="1:10" x14ac:dyDescent="0.2">
      <c r="A14" s="1" t="s">
        <v>19</v>
      </c>
      <c r="B14" s="1" t="s">
        <v>17</v>
      </c>
      <c r="C14" s="1" t="s">
        <v>11</v>
      </c>
      <c r="D14" s="1">
        <f>COUNTIFS(Artifacts[Artifact],Artifacts[[#This Row],[Artifact]],Artifacts[Input or output],"output")</f>
        <v>2</v>
      </c>
      <c r="E14" s="1" t="str" cm="1">
        <f t="array" ref="E14">VLOOKUP(Artifacts[[#This Row],[SOP]],_xlfn._xlws.FILTER(Roles[],Roles[Type of RACI]="R"),2,FALSE)</f>
        <v>Business Analyst</v>
      </c>
      <c r="F14" s="1" t="str" cm="1">
        <f t="array" ref="F14">VLOOKUP(Artifacts[[#This Row],[SOP]],_xlfn._xlws.FILTER(Roles[],Roles[Type of RACI]="A"),2,FALSE)</f>
        <v>Produktägare</v>
      </c>
      <c r="G14" s="1" t="str" cm="1">
        <f t="array" ref="G14">VLOOKUP(Artifacts[[#This Row],[SOP]],_xlfn._xlws.FILTER(Roles[],Roles[Type of RACI]="C"),2,FALSE)</f>
        <v>Verksamhetsexperter</v>
      </c>
      <c r="H14" s="1" t="str" cm="1">
        <f t="array" ref="H14">VLOOKUP(Artifacts[[#This Row],[SOP]],_xlfn._xlws.FILTER(Roles[],Roles[Type of RACI]="I"),2,FALSE)</f>
        <v>Utvecklare</v>
      </c>
      <c r="I14" s="1" t="str">
        <f>VLOOKUP(Artifacts[[#This Row],[SOP]],SOP[#All],3,FALSE)</f>
        <v>Kravställning</v>
      </c>
      <c r="J14" s="1" t="str">
        <f>VLOOKUP(Artifacts[[#This Row],[SOP]],SOP[#All],2,FALSE)</f>
        <v>Stakeholder-karta</v>
      </c>
    </row>
    <row r="15" spans="1:10" hidden="1" x14ac:dyDescent="0.2">
      <c r="A15" s="1" t="s">
        <v>18</v>
      </c>
      <c r="B15" s="1" t="s">
        <v>20</v>
      </c>
      <c r="C15" s="1" t="s">
        <v>9</v>
      </c>
      <c r="D15" s="1">
        <f>COUNTIFS(Artifacts[Artifact],Artifacts[[#This Row],[Artifact]],Artifacts[Input or output],"output")</f>
        <v>1</v>
      </c>
      <c r="E15" s="1" t="str" cm="1">
        <f t="array" ref="E15">VLOOKUP(Artifacts[[#This Row],[SOP]],_xlfn._xlws.FILTER(Roles[],Roles[Type of RACI]="R"),2,FALSE)</f>
        <v>Business Analyst</v>
      </c>
      <c r="F15" s="1" t="str" cm="1">
        <f t="array" ref="F15">VLOOKUP(Artifacts[[#This Row],[SOP]],_xlfn._xlws.FILTER(Roles[],Roles[Type of RACI]="A"),2,FALSE)</f>
        <v>Produktägare</v>
      </c>
      <c r="G15" s="1" t="str" cm="1">
        <f t="array" ref="G15">VLOOKUP(Artifacts[[#This Row],[SOP]],_xlfn._xlws.FILTER(Roles[],Roles[Type of RACI]="C"),2,FALSE)</f>
        <v>Verksamhetsexperter</v>
      </c>
      <c r="H15" s="1" t="str" cm="1">
        <f t="array" ref="H15">VLOOKUP(Artifacts[[#This Row],[SOP]],_xlfn._xlws.FILTER(Roles[],Roles[Type of RACI]="I"),2,FALSE)</f>
        <v>Lösningsarkitekt</v>
      </c>
      <c r="I15" s="1" t="str">
        <f>VLOOKUP(Artifacts[[#This Row],[SOP]],SOP[#All],3,FALSE)</f>
        <v>Kravställning</v>
      </c>
      <c r="J15" s="1" t="str">
        <f>VLOOKUP(Artifacts[[#This Row],[SOP]],SOP[#All],2,FALSE)</f>
        <v>Domänanalys</v>
      </c>
    </row>
    <row r="16" spans="1:10" hidden="1" x14ac:dyDescent="0.2">
      <c r="A16" s="1" t="s">
        <v>21</v>
      </c>
      <c r="B16" s="1" t="s">
        <v>20</v>
      </c>
      <c r="C16" s="1" t="s">
        <v>9</v>
      </c>
      <c r="D16" s="1">
        <f>COUNTIFS(Artifacts[Artifact],Artifacts[[#This Row],[Artifact]],Artifacts[Input or output],"output")</f>
        <v>1</v>
      </c>
      <c r="E16" s="1" t="str" cm="1">
        <f t="array" ref="E16">VLOOKUP(Artifacts[[#This Row],[SOP]],_xlfn._xlws.FILTER(Roles[],Roles[Type of RACI]="R"),2,FALSE)</f>
        <v>Business Analyst</v>
      </c>
      <c r="F16" s="1" t="str" cm="1">
        <f t="array" ref="F16">VLOOKUP(Artifacts[[#This Row],[SOP]],_xlfn._xlws.FILTER(Roles[],Roles[Type of RACI]="A"),2,FALSE)</f>
        <v>Produktägare</v>
      </c>
      <c r="G16" s="1" t="str" cm="1">
        <f t="array" ref="G16">VLOOKUP(Artifacts[[#This Row],[SOP]],_xlfn._xlws.FILTER(Roles[],Roles[Type of RACI]="C"),2,FALSE)</f>
        <v>Verksamhetsexperter</v>
      </c>
      <c r="H16" s="1" t="str" cm="1">
        <f t="array" ref="H16">VLOOKUP(Artifacts[[#This Row],[SOP]],_xlfn._xlws.FILTER(Roles[],Roles[Type of RACI]="I"),2,FALSE)</f>
        <v>Lösningsarkitekt</v>
      </c>
      <c r="I16" s="1" t="str">
        <f>VLOOKUP(Artifacts[[#This Row],[SOP]],SOP[#All],3,FALSE)</f>
        <v>Kravställning</v>
      </c>
      <c r="J16" s="1" t="str">
        <f>VLOOKUP(Artifacts[[#This Row],[SOP]],SOP[#All],2,FALSE)</f>
        <v>Domänanalys</v>
      </c>
    </row>
    <row r="17" spans="1:10" hidden="1" x14ac:dyDescent="0.2">
      <c r="A17" s="1" t="s">
        <v>22</v>
      </c>
      <c r="B17" s="1" t="s">
        <v>20</v>
      </c>
      <c r="C17" s="1" t="s">
        <v>9</v>
      </c>
      <c r="D17" s="1">
        <f>COUNTIFS(Artifacts[Artifact],Artifacts[[#This Row],[Artifact]],Artifacts[Input or output],"output")</f>
        <v>0</v>
      </c>
      <c r="E17" s="1" t="str" cm="1">
        <f t="array" ref="E17">VLOOKUP(Artifacts[[#This Row],[SOP]],_xlfn._xlws.FILTER(Roles[],Roles[Type of RACI]="R"),2,FALSE)</f>
        <v>Business Analyst</v>
      </c>
      <c r="F17" s="1" t="str" cm="1">
        <f t="array" ref="F17">VLOOKUP(Artifacts[[#This Row],[SOP]],_xlfn._xlws.FILTER(Roles[],Roles[Type of RACI]="A"),2,FALSE)</f>
        <v>Produktägare</v>
      </c>
      <c r="G17" s="1" t="str" cm="1">
        <f t="array" ref="G17">VLOOKUP(Artifacts[[#This Row],[SOP]],_xlfn._xlws.FILTER(Roles[],Roles[Type of RACI]="C"),2,FALSE)</f>
        <v>Verksamhetsexperter</v>
      </c>
      <c r="H17" s="1" t="str" cm="1">
        <f t="array" ref="H17">VLOOKUP(Artifacts[[#This Row],[SOP]],_xlfn._xlws.FILTER(Roles[],Roles[Type of RACI]="I"),2,FALSE)</f>
        <v>Lösningsarkitekt</v>
      </c>
      <c r="I17" s="1" t="str">
        <f>VLOOKUP(Artifacts[[#This Row],[SOP]],SOP[#All],3,FALSE)</f>
        <v>Kravställning</v>
      </c>
      <c r="J17" s="1" t="str">
        <f>VLOOKUP(Artifacts[[#This Row],[SOP]],SOP[#All],2,FALSE)</f>
        <v>Domänanalys</v>
      </c>
    </row>
    <row r="18" spans="1:10" x14ac:dyDescent="0.2">
      <c r="A18" s="1" t="s">
        <v>23</v>
      </c>
      <c r="B18" s="1" t="s">
        <v>20</v>
      </c>
      <c r="C18" s="1" t="s">
        <v>11</v>
      </c>
      <c r="D18" s="1">
        <f>COUNTIFS(Artifacts[Artifact],Artifacts[[#This Row],[Artifact]],Artifacts[Input or output],"output")</f>
        <v>2</v>
      </c>
      <c r="E18" s="1" t="str" cm="1">
        <f t="array" ref="E18">VLOOKUP(Artifacts[[#This Row],[SOP]],_xlfn._xlws.FILTER(Roles[],Roles[Type of RACI]="R"),2,FALSE)</f>
        <v>Business Analyst</v>
      </c>
      <c r="F18" s="1" t="str" cm="1">
        <f t="array" ref="F18">VLOOKUP(Artifacts[[#This Row],[SOP]],_xlfn._xlws.FILTER(Roles[],Roles[Type of RACI]="A"),2,FALSE)</f>
        <v>Produktägare</v>
      </c>
      <c r="G18" s="1" t="str" cm="1">
        <f t="array" ref="G18">VLOOKUP(Artifacts[[#This Row],[SOP]],_xlfn._xlws.FILTER(Roles[],Roles[Type of RACI]="C"),2,FALSE)</f>
        <v>Verksamhetsexperter</v>
      </c>
      <c r="H18" s="1" t="str" cm="1">
        <f t="array" ref="H18">VLOOKUP(Artifacts[[#This Row],[SOP]],_xlfn._xlws.FILTER(Roles[],Roles[Type of RACI]="I"),2,FALSE)</f>
        <v>Lösningsarkitekt</v>
      </c>
      <c r="I18" s="1" t="str">
        <f>VLOOKUP(Artifacts[[#This Row],[SOP]],SOP[#All],3,FALSE)</f>
        <v>Kravställning</v>
      </c>
      <c r="J18" s="1" t="str">
        <f>VLOOKUP(Artifacts[[#This Row],[SOP]],SOP[#All],2,FALSE)</f>
        <v>Domänanalys</v>
      </c>
    </row>
    <row r="19" spans="1:10" x14ac:dyDescent="0.2">
      <c r="A19" s="1" t="s">
        <v>24</v>
      </c>
      <c r="B19" s="1" t="s">
        <v>20</v>
      </c>
      <c r="C19" s="1" t="s">
        <v>11</v>
      </c>
      <c r="D19" s="1">
        <f>COUNTIFS(Artifacts[Artifact],Artifacts[[#This Row],[Artifact]],Artifacts[Input or output],"output")</f>
        <v>2</v>
      </c>
      <c r="E19" s="1" t="str" cm="1">
        <f t="array" ref="E19">VLOOKUP(Artifacts[[#This Row],[SOP]],_xlfn._xlws.FILTER(Roles[],Roles[Type of RACI]="R"),2,FALSE)</f>
        <v>Business Analyst</v>
      </c>
      <c r="F19" s="1" t="str" cm="1">
        <f t="array" ref="F19">VLOOKUP(Artifacts[[#This Row],[SOP]],_xlfn._xlws.FILTER(Roles[],Roles[Type of RACI]="A"),2,FALSE)</f>
        <v>Produktägare</v>
      </c>
      <c r="G19" s="1" t="str" cm="1">
        <f t="array" ref="G19">VLOOKUP(Artifacts[[#This Row],[SOP]],_xlfn._xlws.FILTER(Roles[],Roles[Type of RACI]="C"),2,FALSE)</f>
        <v>Verksamhetsexperter</v>
      </c>
      <c r="H19" s="1" t="str" cm="1">
        <f t="array" ref="H19">VLOOKUP(Artifacts[[#This Row],[SOP]],_xlfn._xlws.FILTER(Roles[],Roles[Type of RACI]="I"),2,FALSE)</f>
        <v>Lösningsarkitekt</v>
      </c>
      <c r="I19" s="1" t="str">
        <f>VLOOKUP(Artifacts[[#This Row],[SOP]],SOP[#All],3,FALSE)</f>
        <v>Kravställning</v>
      </c>
      <c r="J19" s="1" t="str">
        <f>VLOOKUP(Artifacts[[#This Row],[SOP]],SOP[#All],2,FALSE)</f>
        <v>Domänanalys</v>
      </c>
    </row>
    <row r="20" spans="1:10" hidden="1" x14ac:dyDescent="0.2">
      <c r="A20" s="1" t="s">
        <v>23</v>
      </c>
      <c r="B20" s="1" t="s">
        <v>25</v>
      </c>
      <c r="C20" s="1" t="s">
        <v>9</v>
      </c>
      <c r="D20" s="1">
        <f>COUNTIFS(Artifacts[Artifact],Artifacts[[#This Row],[Artifact]],Artifacts[Input or output],"output")</f>
        <v>2</v>
      </c>
      <c r="E20" s="1" t="str" cm="1">
        <f t="array" ref="E20">VLOOKUP(Artifacts[[#This Row],[SOP]],_xlfn._xlws.FILTER(Roles[],Roles[Type of RACI]="R"),2,FALSE)</f>
        <v>UX</v>
      </c>
      <c r="F20" s="1" t="str" cm="1">
        <f t="array" ref="F20">VLOOKUP(Artifacts[[#This Row],[SOP]],_xlfn._xlws.FILTER(Roles[],Roles[Type of RACI]="A"),2,FALSE)</f>
        <v>Produktägare</v>
      </c>
      <c r="G20" s="1" t="str" cm="1">
        <f t="array" ref="G20">VLOOKUP(Artifacts[[#This Row],[SOP]],_xlfn._xlws.FILTER(Roles[],Roles[Type of RACI]="C"),2,FALSE)</f>
        <v>Verksamhetsexperter</v>
      </c>
      <c r="H20" s="1" t="str" cm="1">
        <f t="array" ref="H20">VLOOKUP(Artifacts[[#This Row],[SOP]],_xlfn._xlws.FILTER(Roles[],Roles[Type of RACI]="I"),2,FALSE)</f>
        <v>Business Analyst</v>
      </c>
      <c r="I20" s="1" t="str">
        <f>VLOOKUP(Artifacts[[#This Row],[SOP]],SOP[#All],3,FALSE)</f>
        <v>Kravställning</v>
      </c>
      <c r="J20" s="1" t="str">
        <f>VLOOKUP(Artifacts[[#This Row],[SOP]],SOP[#All],2,FALSE)</f>
        <v>User Journeys / huvudflöden</v>
      </c>
    </row>
    <row r="21" spans="1:10" hidden="1" x14ac:dyDescent="0.2">
      <c r="A21" s="1" t="s">
        <v>21</v>
      </c>
      <c r="B21" s="1" t="s">
        <v>25</v>
      </c>
      <c r="C21" s="1" t="s">
        <v>9</v>
      </c>
      <c r="D21" s="1">
        <f>COUNTIFS(Artifacts[Artifact],Artifacts[[#This Row],[Artifact]],Artifacts[Input or output],"output")</f>
        <v>1</v>
      </c>
      <c r="E21" s="1" t="str" cm="1">
        <f t="array" ref="E21">VLOOKUP(Artifacts[[#This Row],[SOP]],_xlfn._xlws.FILTER(Roles[],Roles[Type of RACI]="R"),2,FALSE)</f>
        <v>UX</v>
      </c>
      <c r="F21" s="1" t="str" cm="1">
        <f t="array" ref="F21">VLOOKUP(Artifacts[[#This Row],[SOP]],_xlfn._xlws.FILTER(Roles[],Roles[Type of RACI]="A"),2,FALSE)</f>
        <v>Produktägare</v>
      </c>
      <c r="G21" s="1" t="str" cm="1">
        <f t="array" ref="G21">VLOOKUP(Artifacts[[#This Row],[SOP]],_xlfn._xlws.FILTER(Roles[],Roles[Type of RACI]="C"),2,FALSE)</f>
        <v>Verksamhetsexperter</v>
      </c>
      <c r="H21" s="1" t="str" cm="1">
        <f t="array" ref="H21">VLOOKUP(Artifacts[[#This Row],[SOP]],_xlfn._xlws.FILTER(Roles[],Roles[Type of RACI]="I"),2,FALSE)</f>
        <v>Business Analyst</v>
      </c>
      <c r="I21" s="1" t="str">
        <f>VLOOKUP(Artifacts[[#This Row],[SOP]],SOP[#All],3,FALSE)</f>
        <v>Kravställning</v>
      </c>
      <c r="J21" s="1" t="str">
        <f>VLOOKUP(Artifacts[[#This Row],[SOP]],SOP[#All],2,FALSE)</f>
        <v>User Journeys / huvudflöden</v>
      </c>
    </row>
    <row r="22" spans="1:10" hidden="1" x14ac:dyDescent="0.2">
      <c r="A22" s="1" t="s">
        <v>18</v>
      </c>
      <c r="B22" s="1" t="s">
        <v>25</v>
      </c>
      <c r="C22" s="1" t="s">
        <v>9</v>
      </c>
      <c r="D22" s="1">
        <f>COUNTIFS(Artifacts[Artifact],Artifacts[[#This Row],[Artifact]],Artifacts[Input or output],"output")</f>
        <v>1</v>
      </c>
      <c r="E22" s="1" t="str" cm="1">
        <f t="array" ref="E22">VLOOKUP(Artifacts[[#This Row],[SOP]],_xlfn._xlws.FILTER(Roles[],Roles[Type of RACI]="R"),2,FALSE)</f>
        <v>UX</v>
      </c>
      <c r="F22" s="1" t="str" cm="1">
        <f t="array" ref="F22">VLOOKUP(Artifacts[[#This Row],[SOP]],_xlfn._xlws.FILTER(Roles[],Roles[Type of RACI]="A"),2,FALSE)</f>
        <v>Produktägare</v>
      </c>
      <c r="G22" s="1" t="str" cm="1">
        <f t="array" ref="G22">VLOOKUP(Artifacts[[#This Row],[SOP]],_xlfn._xlws.FILTER(Roles[],Roles[Type of RACI]="C"),2,FALSE)</f>
        <v>Verksamhetsexperter</v>
      </c>
      <c r="H22" s="1" t="str" cm="1">
        <f t="array" ref="H22">VLOOKUP(Artifacts[[#This Row],[SOP]],_xlfn._xlws.FILTER(Roles[],Roles[Type of RACI]="I"),2,FALSE)</f>
        <v>Business Analyst</v>
      </c>
      <c r="I22" s="1" t="str">
        <f>VLOOKUP(Artifacts[[#This Row],[SOP]],SOP[#All],3,FALSE)</f>
        <v>Kravställning</v>
      </c>
      <c r="J22" s="1" t="str">
        <f>VLOOKUP(Artifacts[[#This Row],[SOP]],SOP[#All],2,FALSE)</f>
        <v>User Journeys / huvudflöden</v>
      </c>
    </row>
    <row r="23" spans="1:10" x14ac:dyDescent="0.2">
      <c r="A23" s="1" t="s">
        <v>26</v>
      </c>
      <c r="B23" s="1" t="s">
        <v>25</v>
      </c>
      <c r="C23" s="1" t="s">
        <v>11</v>
      </c>
      <c r="D23" s="1">
        <f>COUNTIFS(Artifacts[Artifact],Artifacts[[#This Row],[Artifact]],Artifacts[Input or output],"output")</f>
        <v>1</v>
      </c>
      <c r="E23" s="1" t="str" cm="1">
        <f t="array" ref="E23">VLOOKUP(Artifacts[[#This Row],[SOP]],_xlfn._xlws.FILTER(Roles[],Roles[Type of RACI]="R"),2,FALSE)</f>
        <v>UX</v>
      </c>
      <c r="F23" s="1" t="str" cm="1">
        <f t="array" ref="F23">VLOOKUP(Artifacts[[#This Row],[SOP]],_xlfn._xlws.FILTER(Roles[],Roles[Type of RACI]="A"),2,FALSE)</f>
        <v>Produktägare</v>
      </c>
      <c r="G23" s="1" t="str" cm="1">
        <f t="array" ref="G23">VLOOKUP(Artifacts[[#This Row],[SOP]],_xlfn._xlws.FILTER(Roles[],Roles[Type of RACI]="C"),2,FALSE)</f>
        <v>Verksamhetsexperter</v>
      </c>
      <c r="H23" s="1" t="str" cm="1">
        <f t="array" ref="H23">VLOOKUP(Artifacts[[#This Row],[SOP]],_xlfn._xlws.FILTER(Roles[],Roles[Type of RACI]="I"),2,FALSE)</f>
        <v>Business Analyst</v>
      </c>
      <c r="I23" s="1" t="str">
        <f>VLOOKUP(Artifacts[[#This Row],[SOP]],SOP[#All],3,FALSE)</f>
        <v>Kravställning</v>
      </c>
      <c r="J23" s="1" t="str">
        <f>VLOOKUP(Artifacts[[#This Row],[SOP]],SOP[#All],2,FALSE)</f>
        <v>User Journeys / huvudflöden</v>
      </c>
    </row>
    <row r="24" spans="1:10" x14ac:dyDescent="0.2">
      <c r="A24" s="1" t="s">
        <v>7</v>
      </c>
      <c r="B24" s="1" t="s">
        <v>25</v>
      </c>
      <c r="C24" s="1" t="s">
        <v>11</v>
      </c>
      <c r="D24" s="1">
        <f>COUNTIFS(Artifacts[Artifact],Artifacts[[#This Row],[Artifact]],Artifacts[Input or output],"output")</f>
        <v>1</v>
      </c>
      <c r="E24" s="1" t="str" cm="1">
        <f t="array" ref="E24">VLOOKUP(Artifacts[[#This Row],[SOP]],_xlfn._xlws.FILTER(Roles[],Roles[Type of RACI]="R"),2,FALSE)</f>
        <v>UX</v>
      </c>
      <c r="F24" s="1" t="str" cm="1">
        <f t="array" ref="F24">VLOOKUP(Artifacts[[#This Row],[SOP]],_xlfn._xlws.FILTER(Roles[],Roles[Type of RACI]="A"),2,FALSE)</f>
        <v>Produktägare</v>
      </c>
      <c r="G24" s="1" t="str" cm="1">
        <f t="array" ref="G24">VLOOKUP(Artifacts[[#This Row],[SOP]],_xlfn._xlws.FILTER(Roles[],Roles[Type of RACI]="C"),2,FALSE)</f>
        <v>Verksamhetsexperter</v>
      </c>
      <c r="H24" s="1" t="str" cm="1">
        <f t="array" ref="H24">VLOOKUP(Artifacts[[#This Row],[SOP]],_xlfn._xlws.FILTER(Roles[],Roles[Type of RACI]="I"),2,FALSE)</f>
        <v>Business Analyst</v>
      </c>
      <c r="I24" s="1" t="str">
        <f>VLOOKUP(Artifacts[[#This Row],[SOP]],SOP[#All],3,FALSE)</f>
        <v>Kravställning</v>
      </c>
      <c r="J24" s="1" t="str">
        <f>VLOOKUP(Artifacts[[#This Row],[SOP]],SOP[#All],2,FALSE)</f>
        <v>User Journeys / huvudflöden</v>
      </c>
    </row>
    <row r="25" spans="1:10" hidden="1" x14ac:dyDescent="0.2">
      <c r="A25" s="1" t="s">
        <v>26</v>
      </c>
      <c r="B25" s="1" t="s">
        <v>28</v>
      </c>
      <c r="C25" s="1" t="s">
        <v>9</v>
      </c>
      <c r="D25" s="1">
        <f>COUNTIFS(Artifacts[Artifact],Artifacts[[#This Row],[Artifact]],Artifacts[Input or output],"output")</f>
        <v>1</v>
      </c>
      <c r="E25" s="1" t="str" cm="1">
        <f t="array" ref="E25">VLOOKUP(Artifacts[[#This Row],[SOP]],_xlfn._xlws.FILTER(Roles[],Roles[Type of RACI]="R"),2,FALSE)</f>
        <v>Business Analyst</v>
      </c>
      <c r="F25" s="1" t="str" cm="1">
        <f t="array" ref="F25">VLOOKUP(Artifacts[[#This Row],[SOP]],_xlfn._xlws.FILTER(Roles[],Roles[Type of RACI]="A"),2,FALSE)</f>
        <v>Produktägare</v>
      </c>
      <c r="G25" s="1" t="str" cm="1">
        <f t="array" ref="G25">VLOOKUP(Artifacts[[#This Row],[SOP]],_xlfn._xlws.FILTER(Roles[],Roles[Type of RACI]="C"),2,FALSE)</f>
        <v>UX</v>
      </c>
      <c r="H25" s="1" t="str" cm="1">
        <f t="array" ref="H25">VLOOKUP(Artifacts[[#This Row],[SOP]],_xlfn._xlws.FILTER(Roles[],Roles[Type of RACI]="I"),2,FALSE)</f>
        <v>Utvecklare</v>
      </c>
      <c r="I25" s="1" t="str">
        <f>VLOOKUP(Artifacts[[#This Row],[SOP]],SOP[#All],3,FALSE)</f>
        <v>Kravställning</v>
      </c>
      <c r="J25" s="1" t="str">
        <f>VLOOKUP(Artifacts[[#This Row],[SOP]],SOP[#All],2,FALSE)</f>
        <v>Skapa Story Map</v>
      </c>
    </row>
    <row r="26" spans="1:10" hidden="1" x14ac:dyDescent="0.2">
      <c r="A26" s="1" t="s">
        <v>23</v>
      </c>
      <c r="B26" s="1" t="s">
        <v>28</v>
      </c>
      <c r="C26" s="1" t="s">
        <v>9</v>
      </c>
      <c r="D26" s="1">
        <f>COUNTIFS(Artifacts[Artifact],Artifacts[[#This Row],[Artifact]],Artifacts[Input or output],"output")</f>
        <v>2</v>
      </c>
      <c r="E26" s="1" t="str" cm="1">
        <f t="array" ref="E26">VLOOKUP(Artifacts[[#This Row],[SOP]],_xlfn._xlws.FILTER(Roles[],Roles[Type of RACI]="R"),2,FALSE)</f>
        <v>Business Analyst</v>
      </c>
      <c r="F26" s="1" t="str" cm="1">
        <f t="array" ref="F26">VLOOKUP(Artifacts[[#This Row],[SOP]],_xlfn._xlws.FILTER(Roles[],Roles[Type of RACI]="A"),2,FALSE)</f>
        <v>Produktägare</v>
      </c>
      <c r="G26" s="1" t="str" cm="1">
        <f t="array" ref="G26">VLOOKUP(Artifacts[[#This Row],[SOP]],_xlfn._xlws.FILTER(Roles[],Roles[Type of RACI]="C"),2,FALSE)</f>
        <v>UX</v>
      </c>
      <c r="H26" s="1" t="str" cm="1">
        <f t="array" ref="H26">VLOOKUP(Artifacts[[#This Row],[SOP]],_xlfn._xlws.FILTER(Roles[],Roles[Type of RACI]="I"),2,FALSE)</f>
        <v>Utvecklare</v>
      </c>
      <c r="I26" s="1" t="str">
        <f>VLOOKUP(Artifacts[[#This Row],[SOP]],SOP[#All],3,FALSE)</f>
        <v>Kravställning</v>
      </c>
      <c r="J26" s="1" t="str">
        <f>VLOOKUP(Artifacts[[#This Row],[SOP]],SOP[#All],2,FALSE)</f>
        <v>Skapa Story Map</v>
      </c>
    </row>
    <row r="27" spans="1:10" hidden="1" x14ac:dyDescent="0.2">
      <c r="A27" s="1" t="s">
        <v>7</v>
      </c>
      <c r="B27" s="1" t="s">
        <v>28</v>
      </c>
      <c r="C27" s="1" t="s">
        <v>9</v>
      </c>
      <c r="D27" s="1">
        <f>COUNTIFS(Artifacts[Artifact],Artifacts[[#This Row],[Artifact]],Artifacts[Input or output],"output")</f>
        <v>1</v>
      </c>
      <c r="E27" s="1" t="str" cm="1">
        <f t="array" ref="E27">VLOOKUP(Artifacts[[#This Row],[SOP]],_xlfn._xlws.FILTER(Roles[],Roles[Type of RACI]="R"),2,FALSE)</f>
        <v>Business Analyst</v>
      </c>
      <c r="F27" s="1" t="str" cm="1">
        <f t="array" ref="F27">VLOOKUP(Artifacts[[#This Row],[SOP]],_xlfn._xlws.FILTER(Roles[],Roles[Type of RACI]="A"),2,FALSE)</f>
        <v>Produktägare</v>
      </c>
      <c r="G27" s="1" t="str" cm="1">
        <f t="array" ref="G27">VLOOKUP(Artifacts[[#This Row],[SOP]],_xlfn._xlws.FILTER(Roles[],Roles[Type of RACI]="C"),2,FALSE)</f>
        <v>UX</v>
      </c>
      <c r="H27" s="1" t="str" cm="1">
        <f t="array" ref="H27">VLOOKUP(Artifacts[[#This Row],[SOP]],_xlfn._xlws.FILTER(Roles[],Roles[Type of RACI]="I"),2,FALSE)</f>
        <v>Utvecklare</v>
      </c>
      <c r="I27" s="1" t="str">
        <f>VLOOKUP(Artifacts[[#This Row],[SOP]],SOP[#All],3,FALSE)</f>
        <v>Kravställning</v>
      </c>
      <c r="J27" s="1" t="str">
        <f>VLOOKUP(Artifacts[[#This Row],[SOP]],SOP[#All],2,FALSE)</f>
        <v>Skapa Story Map</v>
      </c>
    </row>
    <row r="28" spans="1:10" x14ac:dyDescent="0.2">
      <c r="A28" s="1" t="s">
        <v>29</v>
      </c>
      <c r="B28" s="1" t="s">
        <v>28</v>
      </c>
      <c r="C28" s="1" t="s">
        <v>11</v>
      </c>
      <c r="D28" s="1">
        <f>COUNTIFS(Artifacts[Artifact],Artifacts[[#This Row],[Artifact]],Artifacts[Input or output],"output")</f>
        <v>1</v>
      </c>
      <c r="E28" s="1" t="str" cm="1">
        <f t="array" ref="E28">VLOOKUP(Artifacts[[#This Row],[SOP]],_xlfn._xlws.FILTER(Roles[],Roles[Type of RACI]="R"),2,FALSE)</f>
        <v>Business Analyst</v>
      </c>
      <c r="F28" s="1" t="str" cm="1">
        <f t="array" ref="F28">VLOOKUP(Artifacts[[#This Row],[SOP]],_xlfn._xlws.FILTER(Roles[],Roles[Type of RACI]="A"),2,FALSE)</f>
        <v>Produktägare</v>
      </c>
      <c r="G28" s="1" t="str" cm="1">
        <f t="array" ref="G28">VLOOKUP(Artifacts[[#This Row],[SOP]],_xlfn._xlws.FILTER(Roles[],Roles[Type of RACI]="C"),2,FALSE)</f>
        <v>UX</v>
      </c>
      <c r="H28" s="1" t="str" cm="1">
        <f t="array" ref="H28">VLOOKUP(Artifacts[[#This Row],[SOP]],_xlfn._xlws.FILTER(Roles[],Roles[Type of RACI]="I"),2,FALSE)</f>
        <v>Utvecklare</v>
      </c>
      <c r="I28" s="1" t="str">
        <f>VLOOKUP(Artifacts[[#This Row],[SOP]],SOP[#All],3,FALSE)</f>
        <v>Kravställning</v>
      </c>
      <c r="J28" s="1" t="str">
        <f>VLOOKUP(Artifacts[[#This Row],[SOP]],SOP[#All],2,FALSE)</f>
        <v>Skapa Story Map</v>
      </c>
    </row>
    <row r="29" spans="1:10" x14ac:dyDescent="0.2">
      <c r="A29" s="1" t="s">
        <v>30</v>
      </c>
      <c r="B29" s="1" t="s">
        <v>28</v>
      </c>
      <c r="C29" s="1" t="s">
        <v>11</v>
      </c>
      <c r="D29" s="1">
        <f>COUNTIFS(Artifacts[Artifact],Artifacts[[#This Row],[Artifact]],Artifacts[Input or output],"output")</f>
        <v>1</v>
      </c>
      <c r="E29" s="1" t="str" cm="1">
        <f t="array" ref="E29">VLOOKUP(Artifacts[[#This Row],[SOP]],_xlfn._xlws.FILTER(Roles[],Roles[Type of RACI]="R"),2,FALSE)</f>
        <v>Business Analyst</v>
      </c>
      <c r="F29" s="1" t="str" cm="1">
        <f t="array" ref="F29">VLOOKUP(Artifacts[[#This Row],[SOP]],_xlfn._xlws.FILTER(Roles[],Roles[Type of RACI]="A"),2,FALSE)</f>
        <v>Produktägare</v>
      </c>
      <c r="G29" s="1" t="str" cm="1">
        <f t="array" ref="G29">VLOOKUP(Artifacts[[#This Row],[SOP]],_xlfn._xlws.FILTER(Roles[],Roles[Type of RACI]="C"),2,FALSE)</f>
        <v>UX</v>
      </c>
      <c r="H29" s="1" t="str" cm="1">
        <f t="array" ref="H29">VLOOKUP(Artifacts[[#This Row],[SOP]],_xlfn._xlws.FILTER(Roles[],Roles[Type of RACI]="I"),2,FALSE)</f>
        <v>Utvecklare</v>
      </c>
      <c r="I29" s="1" t="str">
        <f>VLOOKUP(Artifacts[[#This Row],[SOP]],SOP[#All],3,FALSE)</f>
        <v>Kravställning</v>
      </c>
      <c r="J29" s="1" t="str">
        <f>VLOOKUP(Artifacts[[#This Row],[SOP]],SOP[#All],2,FALSE)</f>
        <v>Skapa Story Map</v>
      </c>
    </row>
    <row r="30" spans="1:10" hidden="1" x14ac:dyDescent="0.2">
      <c r="A30" s="1" t="s">
        <v>29</v>
      </c>
      <c r="B30" s="1" t="s">
        <v>31</v>
      </c>
      <c r="C30" s="1" t="s">
        <v>9</v>
      </c>
      <c r="D30" s="1">
        <f>COUNTIFS(Artifacts[Artifact],Artifacts[[#This Row],[Artifact]],Artifacts[Input or output],"output")</f>
        <v>1</v>
      </c>
      <c r="E30" s="1" t="str" cm="1">
        <f t="array" ref="E30">VLOOKUP(Artifacts[[#This Row],[SOP]],_xlfn._xlws.FILTER(Roles[],Roles[Type of RACI]="R"),2,FALSE)</f>
        <v>Business Analyst</v>
      </c>
      <c r="F30" s="1" t="str" cm="1">
        <f t="array" ref="F30">VLOOKUP(Artifacts[[#This Row],[SOP]],_xlfn._xlws.FILTER(Roles[],Roles[Type of RACI]="A"),2,FALSE)</f>
        <v>Produktägare</v>
      </c>
      <c r="G30" s="1" t="str" cm="1">
        <f t="array" ref="G30">VLOOKUP(Artifacts[[#This Row],[SOP]],_xlfn._xlws.FILTER(Roles[],Roles[Type of RACI]="C"),2,FALSE)</f>
        <v>Verksamhetsexperter</v>
      </c>
      <c r="H30" s="1" t="str" cm="1">
        <f t="array" ref="H30">VLOOKUP(Artifacts[[#This Row],[SOP]],_xlfn._xlws.FILTER(Roles[],Roles[Type of RACI]="I"),2,FALSE)</f>
        <v>Utvecklare</v>
      </c>
      <c r="I30" s="1" t="str">
        <f>VLOOKUP(Artifacts[[#This Row],[SOP]],SOP[#All],3,FALSE)</f>
        <v>Kravställning</v>
      </c>
      <c r="J30" s="1" t="str">
        <f>VLOOKUP(Artifacts[[#This Row],[SOP]],SOP[#All],2,FALSE)</f>
        <v>Gruppera i epics &amp; capabilities</v>
      </c>
    </row>
    <row r="31" spans="1:10" hidden="1" x14ac:dyDescent="0.2">
      <c r="A31" s="1" t="s">
        <v>21</v>
      </c>
      <c r="B31" s="1" t="s">
        <v>31</v>
      </c>
      <c r="C31" s="1" t="s">
        <v>9</v>
      </c>
      <c r="D31" s="1">
        <f>COUNTIFS(Artifacts[Artifact],Artifacts[[#This Row],[Artifact]],Artifacts[Input or output],"output")</f>
        <v>1</v>
      </c>
      <c r="E31" s="1" t="str" cm="1">
        <f t="array" ref="E31">VLOOKUP(Artifacts[[#This Row],[SOP]],_xlfn._xlws.FILTER(Roles[],Roles[Type of RACI]="R"),2,FALSE)</f>
        <v>Business Analyst</v>
      </c>
      <c r="F31" s="1" t="str" cm="1">
        <f t="array" ref="F31">VLOOKUP(Artifacts[[#This Row],[SOP]],_xlfn._xlws.FILTER(Roles[],Roles[Type of RACI]="A"),2,FALSE)</f>
        <v>Produktägare</v>
      </c>
      <c r="G31" s="1" t="str" cm="1">
        <f t="array" ref="G31">VLOOKUP(Artifacts[[#This Row],[SOP]],_xlfn._xlws.FILTER(Roles[],Roles[Type of RACI]="C"),2,FALSE)</f>
        <v>Verksamhetsexperter</v>
      </c>
      <c r="H31" s="1" t="str" cm="1">
        <f t="array" ref="H31">VLOOKUP(Artifacts[[#This Row],[SOP]],_xlfn._xlws.FILTER(Roles[],Roles[Type of RACI]="I"),2,FALSE)</f>
        <v>Utvecklare</v>
      </c>
      <c r="I31" s="1" t="str">
        <f>VLOOKUP(Artifacts[[#This Row],[SOP]],SOP[#All],3,FALSE)</f>
        <v>Kravställning</v>
      </c>
      <c r="J31" s="1" t="str">
        <f>VLOOKUP(Artifacts[[#This Row],[SOP]],SOP[#All],2,FALSE)</f>
        <v>Gruppera i epics &amp; capabilities</v>
      </c>
    </row>
    <row r="32" spans="1:10" x14ac:dyDescent="0.2">
      <c r="A32" s="1" t="s">
        <v>16</v>
      </c>
      <c r="B32" s="1" t="s">
        <v>31</v>
      </c>
      <c r="C32" s="1" t="s">
        <v>11</v>
      </c>
      <c r="D32" s="1">
        <f>COUNTIFS(Artifacts[Artifact],Artifacts[[#This Row],[Artifact]],Artifacts[Input or output],"output")</f>
        <v>2</v>
      </c>
      <c r="E32" s="1" t="str" cm="1">
        <f t="array" ref="E32">VLOOKUP(Artifacts[[#This Row],[SOP]],_xlfn._xlws.FILTER(Roles[],Roles[Type of RACI]="R"),2,FALSE)</f>
        <v>Business Analyst</v>
      </c>
      <c r="F32" s="1" t="str" cm="1">
        <f t="array" ref="F32">VLOOKUP(Artifacts[[#This Row],[SOP]],_xlfn._xlws.FILTER(Roles[],Roles[Type of RACI]="A"),2,FALSE)</f>
        <v>Produktägare</v>
      </c>
      <c r="G32" s="1" t="str" cm="1">
        <f t="array" ref="G32">VLOOKUP(Artifacts[[#This Row],[SOP]],_xlfn._xlws.FILTER(Roles[],Roles[Type of RACI]="C"),2,FALSE)</f>
        <v>Verksamhetsexperter</v>
      </c>
      <c r="H32" s="1" t="str" cm="1">
        <f t="array" ref="H32">VLOOKUP(Artifacts[[#This Row],[SOP]],_xlfn._xlws.FILTER(Roles[],Roles[Type of RACI]="I"),2,FALSE)</f>
        <v>Utvecklare</v>
      </c>
      <c r="I32" s="1" t="str">
        <f>VLOOKUP(Artifacts[[#This Row],[SOP]],SOP[#All],3,FALSE)</f>
        <v>Kravställning</v>
      </c>
      <c r="J32" s="1" t="str">
        <f>VLOOKUP(Artifacts[[#This Row],[SOP]],SOP[#All],2,FALSE)</f>
        <v>Gruppera i epics &amp; capabilities</v>
      </c>
    </row>
    <row r="33" spans="1:10" hidden="1" x14ac:dyDescent="0.2">
      <c r="A33" s="1" t="s">
        <v>16</v>
      </c>
      <c r="B33" s="1" t="s">
        <v>32</v>
      </c>
      <c r="C33" s="1" t="s">
        <v>9</v>
      </c>
      <c r="D33" s="1">
        <f>COUNTIFS(Artifacts[Artifact],Artifacts[[#This Row],[Artifact]],Artifacts[Input or output],"output")</f>
        <v>2</v>
      </c>
      <c r="E33" s="1" t="str" cm="1">
        <f t="array" ref="E33">VLOOKUP(Artifacts[[#This Row],[SOP]],_xlfn._xlws.FILTER(Roles[],Roles[Type of RACI]="R"),2,FALSE)</f>
        <v>Business Analyst</v>
      </c>
      <c r="F33" s="1" t="str" cm="1">
        <f t="array" ref="F33">VLOOKUP(Artifacts[[#This Row],[SOP]],_xlfn._xlws.FILTER(Roles[],Roles[Type of RACI]="A"),2,FALSE)</f>
        <v>Produktägare</v>
      </c>
      <c r="G33" s="1" t="str" cm="1">
        <f t="array" ref="G33">VLOOKUP(Artifacts[[#This Row],[SOP]],_xlfn._xlws.FILTER(Roles[],Roles[Type of RACI]="C"),2,FALSE)</f>
        <v>Verksamhetsexperter</v>
      </c>
      <c r="H33" s="1" t="str" cm="1">
        <f t="array" ref="H33">VLOOKUP(Artifacts[[#This Row],[SOP]],_xlfn._xlws.FILTER(Roles[],Roles[Type of RACI]="I"),2,FALSE)</f>
        <v>Utvecklare</v>
      </c>
      <c r="I33" s="1" t="str">
        <f>VLOOKUP(Artifacts[[#This Row],[SOP]],SOP[#All],3,FALSE)</f>
        <v>Kravställning</v>
      </c>
      <c r="J33" s="1" t="str">
        <f>VLOOKUP(Artifacts[[#This Row],[SOP]],SOP[#All],2,FALSE)</f>
        <v>Prioritera backlog (hög nivå)</v>
      </c>
    </row>
    <row r="34" spans="1:10" hidden="1" x14ac:dyDescent="0.2">
      <c r="A34" s="1" t="s">
        <v>10</v>
      </c>
      <c r="B34" s="1" t="s">
        <v>32</v>
      </c>
      <c r="C34" s="1" t="s">
        <v>9</v>
      </c>
      <c r="D34" s="1">
        <f>COUNTIFS(Artifacts[Artifact],Artifacts[[#This Row],[Artifact]],Artifacts[Input or output],"output")</f>
        <v>2</v>
      </c>
      <c r="E34" s="1" t="str" cm="1">
        <f t="array" ref="E34">VLOOKUP(Artifacts[[#This Row],[SOP]],_xlfn._xlws.FILTER(Roles[],Roles[Type of RACI]="R"),2,FALSE)</f>
        <v>Business Analyst</v>
      </c>
      <c r="F34" s="1" t="str" cm="1">
        <f t="array" ref="F34">VLOOKUP(Artifacts[[#This Row],[SOP]],_xlfn._xlws.FILTER(Roles[],Roles[Type of RACI]="A"),2,FALSE)</f>
        <v>Produktägare</v>
      </c>
      <c r="G34" s="1" t="str" cm="1">
        <f t="array" ref="G34">VLOOKUP(Artifacts[[#This Row],[SOP]],_xlfn._xlws.FILTER(Roles[],Roles[Type of RACI]="C"),2,FALSE)</f>
        <v>Verksamhetsexperter</v>
      </c>
      <c r="H34" s="1" t="str" cm="1">
        <f t="array" ref="H34">VLOOKUP(Artifacts[[#This Row],[SOP]],_xlfn._xlws.FILTER(Roles[],Roles[Type of RACI]="I"),2,FALSE)</f>
        <v>Utvecklare</v>
      </c>
      <c r="I34" s="1" t="str">
        <f>VLOOKUP(Artifacts[[#This Row],[SOP]],SOP[#All],3,FALSE)</f>
        <v>Kravställning</v>
      </c>
      <c r="J34" s="1" t="str">
        <f>VLOOKUP(Artifacts[[#This Row],[SOP]],SOP[#All],2,FALSE)</f>
        <v>Prioritera backlog (hög nivå)</v>
      </c>
    </row>
    <row r="35" spans="1:10" hidden="1" x14ac:dyDescent="0.2">
      <c r="A35" s="1" t="s">
        <v>33</v>
      </c>
      <c r="B35" s="1" t="s">
        <v>32</v>
      </c>
      <c r="C35" s="1" t="s">
        <v>9</v>
      </c>
      <c r="D35" s="1">
        <f>COUNTIFS(Artifacts[Artifact],Artifacts[[#This Row],[Artifact]],Artifacts[Input or output],"output")</f>
        <v>0</v>
      </c>
      <c r="E35" s="1" t="str" cm="1">
        <f t="array" ref="E35">VLOOKUP(Artifacts[[#This Row],[SOP]],_xlfn._xlws.FILTER(Roles[],Roles[Type of RACI]="R"),2,FALSE)</f>
        <v>Business Analyst</v>
      </c>
      <c r="F35" s="1" t="str" cm="1">
        <f t="array" ref="F35">VLOOKUP(Artifacts[[#This Row],[SOP]],_xlfn._xlws.FILTER(Roles[],Roles[Type of RACI]="A"),2,FALSE)</f>
        <v>Produktägare</v>
      </c>
      <c r="G35" s="1" t="str" cm="1">
        <f t="array" ref="G35">VLOOKUP(Artifacts[[#This Row],[SOP]],_xlfn._xlws.FILTER(Roles[],Roles[Type of RACI]="C"),2,FALSE)</f>
        <v>Verksamhetsexperter</v>
      </c>
      <c r="H35" s="1" t="str" cm="1">
        <f t="array" ref="H35">VLOOKUP(Artifacts[[#This Row],[SOP]],_xlfn._xlws.FILTER(Roles[],Roles[Type of RACI]="I"),2,FALSE)</f>
        <v>Utvecklare</v>
      </c>
      <c r="I35" s="1" t="str">
        <f>VLOOKUP(Artifacts[[#This Row],[SOP]],SOP[#All],3,FALSE)</f>
        <v>Kravställning</v>
      </c>
      <c r="J35" s="1" t="str">
        <f>VLOOKUP(Artifacts[[#This Row],[SOP]],SOP[#All],2,FALSE)</f>
        <v>Prioritera backlog (hög nivå)</v>
      </c>
    </row>
    <row r="36" spans="1:10" x14ac:dyDescent="0.2">
      <c r="A36" s="1" t="s">
        <v>34</v>
      </c>
      <c r="B36" s="1" t="s">
        <v>32</v>
      </c>
      <c r="C36" s="1" t="s">
        <v>11</v>
      </c>
      <c r="D36" s="1">
        <f>COUNTIFS(Artifacts[Artifact],Artifacts[[#This Row],[Artifact]],Artifacts[Input or output],"output")</f>
        <v>2</v>
      </c>
      <c r="E36" s="1" t="str" cm="1">
        <f t="array" ref="E36">VLOOKUP(Artifacts[[#This Row],[SOP]],_xlfn._xlws.FILTER(Roles[],Roles[Type of RACI]="R"),2,FALSE)</f>
        <v>Business Analyst</v>
      </c>
      <c r="F36" s="1" t="str" cm="1">
        <f t="array" ref="F36">VLOOKUP(Artifacts[[#This Row],[SOP]],_xlfn._xlws.FILTER(Roles[],Roles[Type of RACI]="A"),2,FALSE)</f>
        <v>Produktägare</v>
      </c>
      <c r="G36" s="1" t="str" cm="1">
        <f t="array" ref="G36">VLOOKUP(Artifacts[[#This Row],[SOP]],_xlfn._xlws.FILTER(Roles[],Roles[Type of RACI]="C"),2,FALSE)</f>
        <v>Verksamhetsexperter</v>
      </c>
      <c r="H36" s="1" t="str" cm="1">
        <f t="array" ref="H36">VLOOKUP(Artifacts[[#This Row],[SOP]],_xlfn._xlws.FILTER(Roles[],Roles[Type of RACI]="I"),2,FALSE)</f>
        <v>Utvecklare</v>
      </c>
      <c r="I36" s="1" t="str">
        <f>VLOOKUP(Artifacts[[#This Row],[SOP]],SOP[#All],3,FALSE)</f>
        <v>Kravställning</v>
      </c>
      <c r="J36" s="1" t="str">
        <f>VLOOKUP(Artifacts[[#This Row],[SOP]],SOP[#All],2,FALSE)</f>
        <v>Prioritera backlog (hög nivå)</v>
      </c>
    </row>
    <row r="37" spans="1:10" hidden="1" x14ac:dyDescent="0.2">
      <c r="A37" s="1" t="s">
        <v>10</v>
      </c>
      <c r="B37" s="1" t="s">
        <v>35</v>
      </c>
      <c r="C37" s="1" t="s">
        <v>9</v>
      </c>
      <c r="D37" s="1">
        <f>COUNTIFS(Artifacts[Artifact],Artifacts[[#This Row],[Artifact]],Artifacts[Input or output],"output")</f>
        <v>2</v>
      </c>
      <c r="E37" s="1" t="str" cm="1">
        <f t="array" ref="E37">VLOOKUP(Artifacts[[#This Row],[SOP]],_xlfn._xlws.FILTER(Roles[],Roles[Type of RACI]="R"),2,FALSE)</f>
        <v>Business Analyst</v>
      </c>
      <c r="F37" s="1" t="str" cm="1">
        <f t="array" ref="F37">VLOOKUP(Artifacts[[#This Row],[SOP]],_xlfn._xlws.FILTER(Roles[],Roles[Type of RACI]="A"),2,FALSE)</f>
        <v>Produktägare</v>
      </c>
      <c r="G37" s="1" t="str" cm="1">
        <f t="array" ref="G37">VLOOKUP(Artifacts[[#This Row],[SOP]],_xlfn._xlws.FILTER(Roles[],Roles[Type of RACI]="C"),2,FALSE)</f>
        <v>Verksamhetsexperter</v>
      </c>
      <c r="H37" s="1" t="str" cm="1">
        <f t="array" ref="H37">VLOOKUP(Artifacts[[#This Row],[SOP]],_xlfn._xlws.FILTER(Roles[],Roles[Type of RACI]="I"),2,FALSE)</f>
        <v>Projektledare</v>
      </c>
      <c r="I37" s="1" t="str">
        <f>VLOOKUP(Artifacts[[#This Row],[SOP]],SOP[#All],3,FALSE)</f>
        <v>Kravställning</v>
      </c>
      <c r="J37" s="1" t="str">
        <f>VLOOKUP(Artifacts[[#This Row],[SOP]],SOP[#All],2,FALSE)</f>
        <v>Definiera framgångskriterier (KPI)</v>
      </c>
    </row>
    <row r="38" spans="1:10" hidden="1" x14ac:dyDescent="0.2">
      <c r="A38" s="1" t="s">
        <v>34</v>
      </c>
      <c r="B38" s="1" t="s">
        <v>35</v>
      </c>
      <c r="C38" s="1" t="s">
        <v>9</v>
      </c>
      <c r="D38" s="1">
        <f>COUNTIFS(Artifacts[Artifact],Artifacts[[#This Row],[Artifact]],Artifacts[Input or output],"output")</f>
        <v>2</v>
      </c>
      <c r="E38" s="1" t="str" cm="1">
        <f t="array" ref="E38">VLOOKUP(Artifacts[[#This Row],[SOP]],_xlfn._xlws.FILTER(Roles[],Roles[Type of RACI]="R"),2,FALSE)</f>
        <v>Business Analyst</v>
      </c>
      <c r="F38" s="1" t="str" cm="1">
        <f t="array" ref="F38">VLOOKUP(Artifacts[[#This Row],[SOP]],_xlfn._xlws.FILTER(Roles[],Roles[Type of RACI]="A"),2,FALSE)</f>
        <v>Produktägare</v>
      </c>
      <c r="G38" s="1" t="str" cm="1">
        <f t="array" ref="G38">VLOOKUP(Artifacts[[#This Row],[SOP]],_xlfn._xlws.FILTER(Roles[],Roles[Type of RACI]="C"),2,FALSE)</f>
        <v>Verksamhetsexperter</v>
      </c>
      <c r="H38" s="1" t="str" cm="1">
        <f t="array" ref="H38">VLOOKUP(Artifacts[[#This Row],[SOP]],_xlfn._xlws.FILTER(Roles[],Roles[Type of RACI]="I"),2,FALSE)</f>
        <v>Projektledare</v>
      </c>
      <c r="I38" s="1" t="str">
        <f>VLOOKUP(Artifacts[[#This Row],[SOP]],SOP[#All],3,FALSE)</f>
        <v>Kravställning</v>
      </c>
      <c r="J38" s="1" t="str">
        <f>VLOOKUP(Artifacts[[#This Row],[SOP]],SOP[#All],2,FALSE)</f>
        <v>Definiera framgångskriterier (KPI)</v>
      </c>
    </row>
    <row r="39" spans="1:10" hidden="1" x14ac:dyDescent="0.2">
      <c r="A39" s="1" t="s">
        <v>29</v>
      </c>
      <c r="B39" s="1" t="s">
        <v>35</v>
      </c>
      <c r="C39" s="1" t="s">
        <v>9</v>
      </c>
      <c r="D39" s="1">
        <f>COUNTIFS(Artifacts[Artifact],Artifacts[[#This Row],[Artifact]],Artifacts[Input or output],"output")</f>
        <v>1</v>
      </c>
      <c r="E39" s="1" t="str" cm="1">
        <f t="array" ref="E39">VLOOKUP(Artifacts[[#This Row],[SOP]],_xlfn._xlws.FILTER(Roles[],Roles[Type of RACI]="R"),2,FALSE)</f>
        <v>Business Analyst</v>
      </c>
      <c r="F39" s="1" t="str" cm="1">
        <f t="array" ref="F39">VLOOKUP(Artifacts[[#This Row],[SOP]],_xlfn._xlws.FILTER(Roles[],Roles[Type of RACI]="A"),2,FALSE)</f>
        <v>Produktägare</v>
      </c>
      <c r="G39" s="1" t="str" cm="1">
        <f t="array" ref="G39">VLOOKUP(Artifacts[[#This Row],[SOP]],_xlfn._xlws.FILTER(Roles[],Roles[Type of RACI]="C"),2,FALSE)</f>
        <v>Verksamhetsexperter</v>
      </c>
      <c r="H39" s="1" t="str" cm="1">
        <f t="array" ref="H39">VLOOKUP(Artifacts[[#This Row],[SOP]],_xlfn._xlws.FILTER(Roles[],Roles[Type of RACI]="I"),2,FALSE)</f>
        <v>Projektledare</v>
      </c>
      <c r="I39" s="1" t="str">
        <f>VLOOKUP(Artifacts[[#This Row],[SOP]],SOP[#All],3,FALSE)</f>
        <v>Kravställning</v>
      </c>
      <c r="J39" s="1" t="str">
        <f>VLOOKUP(Artifacts[[#This Row],[SOP]],SOP[#All],2,FALSE)</f>
        <v>Definiera framgångskriterier (KPI)</v>
      </c>
    </row>
    <row r="40" spans="1:10" x14ac:dyDescent="0.2">
      <c r="A40" s="1" t="s">
        <v>36</v>
      </c>
      <c r="B40" s="1" t="s">
        <v>35</v>
      </c>
      <c r="C40" s="1" t="s">
        <v>11</v>
      </c>
      <c r="D40" s="1">
        <f>COUNTIFS(Artifacts[Artifact],Artifacts[[#This Row],[Artifact]],Artifacts[Input or output],"output")</f>
        <v>1</v>
      </c>
      <c r="E40" s="1" t="str" cm="1">
        <f t="array" ref="E40">VLOOKUP(Artifacts[[#This Row],[SOP]],_xlfn._xlws.FILTER(Roles[],Roles[Type of RACI]="R"),2,FALSE)</f>
        <v>Business Analyst</v>
      </c>
      <c r="F40" s="1" t="str" cm="1">
        <f t="array" ref="F40">VLOOKUP(Artifacts[[#This Row],[SOP]],_xlfn._xlws.FILTER(Roles[],Roles[Type of RACI]="A"),2,FALSE)</f>
        <v>Produktägare</v>
      </c>
      <c r="G40" s="1" t="str" cm="1">
        <f t="array" ref="G40">VLOOKUP(Artifacts[[#This Row],[SOP]],_xlfn._xlws.FILTER(Roles[],Roles[Type of RACI]="C"),2,FALSE)</f>
        <v>Verksamhetsexperter</v>
      </c>
      <c r="H40" s="1" t="str" cm="1">
        <f t="array" ref="H40">VLOOKUP(Artifacts[[#This Row],[SOP]],_xlfn._xlws.FILTER(Roles[],Roles[Type of RACI]="I"),2,FALSE)</f>
        <v>Projektledare</v>
      </c>
      <c r="I40" s="1" t="str">
        <f>VLOOKUP(Artifacts[[#This Row],[SOP]],SOP[#All],3,FALSE)</f>
        <v>Kravställning</v>
      </c>
      <c r="J40" s="1" t="str">
        <f>VLOOKUP(Artifacts[[#This Row],[SOP]],SOP[#All],2,FALSE)</f>
        <v>Definiera framgångskriterier (KPI)</v>
      </c>
    </row>
    <row r="41" spans="1:10" x14ac:dyDescent="0.2">
      <c r="A41" s="1" t="s">
        <v>37</v>
      </c>
      <c r="B41" s="1" t="s">
        <v>35</v>
      </c>
      <c r="C41" s="1" t="s">
        <v>11</v>
      </c>
      <c r="D41" s="1">
        <f>COUNTIFS(Artifacts[Artifact],Artifacts[[#This Row],[Artifact]],Artifacts[Input or output],"output")</f>
        <v>1</v>
      </c>
      <c r="E41" s="1" t="str" cm="1">
        <f t="array" ref="E41">VLOOKUP(Artifacts[[#This Row],[SOP]],_xlfn._xlws.FILTER(Roles[],Roles[Type of RACI]="R"),2,FALSE)</f>
        <v>Business Analyst</v>
      </c>
      <c r="F41" s="1" t="str" cm="1">
        <f t="array" ref="F41">VLOOKUP(Artifacts[[#This Row],[SOP]],_xlfn._xlws.FILTER(Roles[],Roles[Type of RACI]="A"),2,FALSE)</f>
        <v>Produktägare</v>
      </c>
      <c r="G41" s="1" t="str" cm="1">
        <f t="array" ref="G41">VLOOKUP(Artifacts[[#This Row],[SOP]],_xlfn._xlws.FILTER(Roles[],Roles[Type of RACI]="C"),2,FALSE)</f>
        <v>Verksamhetsexperter</v>
      </c>
      <c r="H41" s="1" t="str" cm="1">
        <f t="array" ref="H41">VLOOKUP(Artifacts[[#This Row],[SOP]],_xlfn._xlws.FILTER(Roles[],Roles[Type of RACI]="I"),2,FALSE)</f>
        <v>Projektledare</v>
      </c>
      <c r="I41" s="1" t="str">
        <f>VLOOKUP(Artifacts[[#This Row],[SOP]],SOP[#All],3,FALSE)</f>
        <v>Kravställning</v>
      </c>
      <c r="J41" s="1" t="str">
        <f>VLOOKUP(Artifacts[[#This Row],[SOP]],SOP[#All],2,FALSE)</f>
        <v>Definiera framgångskriterier (KPI)</v>
      </c>
    </row>
    <row r="42" spans="1:10" hidden="1" x14ac:dyDescent="0.2">
      <c r="A42" s="1" t="s">
        <v>7</v>
      </c>
      <c r="B42" s="1" t="s">
        <v>38</v>
      </c>
      <c r="C42" s="1" t="s">
        <v>9</v>
      </c>
      <c r="D42" s="1">
        <f>COUNTIFS(Artifacts[Artifact],Artifacts[[#This Row],[Artifact]],Artifacts[Input or output],"output")</f>
        <v>1</v>
      </c>
      <c r="E42" s="1" t="str" cm="1">
        <f t="array" ref="E42">VLOOKUP(Artifacts[[#This Row],[SOP]],_xlfn._xlws.FILTER(Roles[],Roles[Type of RACI]="R"),2,FALSE)</f>
        <v>Lösningsarkitekt</v>
      </c>
      <c r="F42" s="1" t="str" cm="1">
        <f t="array" ref="F42">VLOOKUP(Artifacts[[#This Row],[SOP]],_xlfn._xlws.FILTER(Roles[],Roles[Type of RACI]="A"),2,FALSE)</f>
        <v>Enterprise Arkitekt</v>
      </c>
      <c r="G42" s="1" t="str" cm="1">
        <f t="array" ref="G42">VLOOKUP(Artifacts[[#This Row],[SOP]],_xlfn._xlws.FILTER(Roles[],Roles[Type of RACI]="C"),2,FALSE)</f>
        <v>Produktägare</v>
      </c>
      <c r="H42" s="1" t="str" cm="1">
        <f t="array" ref="H42">VLOOKUP(Artifacts[[#This Row],[SOP]],_xlfn._xlws.FILTER(Roles[],Roles[Type of RACI]="I"),2,FALSE)</f>
        <v>Business Analyst</v>
      </c>
      <c r="I42" s="1" t="str">
        <f>VLOOKUP(Artifacts[[#This Row],[SOP]],SOP[#All],3,FALSE)</f>
        <v>Målarkitektur</v>
      </c>
      <c r="J42" s="1" t="str">
        <f>VLOOKUP(Artifacts[[#This Row],[SOP]],SOP[#All],2,FALSE)</f>
        <v>Etablera arkitekturmål</v>
      </c>
    </row>
    <row r="43" spans="1:10" hidden="1" x14ac:dyDescent="0.2">
      <c r="A43" s="1" t="s">
        <v>10</v>
      </c>
      <c r="B43" s="1" t="s">
        <v>38</v>
      </c>
      <c r="C43" s="1" t="s">
        <v>9</v>
      </c>
      <c r="D43" s="1">
        <f>COUNTIFS(Artifacts[Artifact],Artifacts[[#This Row],[Artifact]],Artifacts[Input or output],"output")</f>
        <v>2</v>
      </c>
      <c r="E43" s="1" t="str" cm="1">
        <f t="array" ref="E43">VLOOKUP(Artifacts[[#This Row],[SOP]],_xlfn._xlws.FILTER(Roles[],Roles[Type of RACI]="R"),2,FALSE)</f>
        <v>Lösningsarkitekt</v>
      </c>
      <c r="F43" s="1" t="str" cm="1">
        <f t="array" ref="F43">VLOOKUP(Artifacts[[#This Row],[SOP]],_xlfn._xlws.FILTER(Roles[],Roles[Type of RACI]="A"),2,FALSE)</f>
        <v>Enterprise Arkitekt</v>
      </c>
      <c r="G43" s="1" t="str" cm="1">
        <f t="array" ref="G43">VLOOKUP(Artifacts[[#This Row],[SOP]],_xlfn._xlws.FILTER(Roles[],Roles[Type of RACI]="C"),2,FALSE)</f>
        <v>Produktägare</v>
      </c>
      <c r="H43" s="1" t="str" cm="1">
        <f t="array" ref="H43">VLOOKUP(Artifacts[[#This Row],[SOP]],_xlfn._xlws.FILTER(Roles[],Roles[Type of RACI]="I"),2,FALSE)</f>
        <v>Business Analyst</v>
      </c>
      <c r="I43" s="1" t="str">
        <f>VLOOKUP(Artifacts[[#This Row],[SOP]],SOP[#All],3,FALSE)</f>
        <v>Målarkitektur</v>
      </c>
      <c r="J43" s="1" t="str">
        <f>VLOOKUP(Artifacts[[#This Row],[SOP]],SOP[#All],2,FALSE)</f>
        <v>Etablera arkitekturmål</v>
      </c>
    </row>
    <row r="44" spans="1:10" hidden="1" x14ac:dyDescent="0.2">
      <c r="A44" s="1" t="s">
        <v>15</v>
      </c>
      <c r="B44" s="1" t="s">
        <v>38</v>
      </c>
      <c r="C44" s="1" t="s">
        <v>9</v>
      </c>
      <c r="D44" s="1">
        <f>COUNTIFS(Artifacts[Artifact],Artifacts[[#This Row],[Artifact]],Artifacts[Input or output],"output")</f>
        <v>2</v>
      </c>
      <c r="E44" s="1" t="str" cm="1">
        <f t="array" ref="E44">VLOOKUP(Artifacts[[#This Row],[SOP]],_xlfn._xlws.FILTER(Roles[],Roles[Type of RACI]="R"),2,FALSE)</f>
        <v>Lösningsarkitekt</v>
      </c>
      <c r="F44" s="1" t="str" cm="1">
        <f t="array" ref="F44">VLOOKUP(Artifacts[[#This Row],[SOP]],_xlfn._xlws.FILTER(Roles[],Roles[Type of RACI]="A"),2,FALSE)</f>
        <v>Enterprise Arkitekt</v>
      </c>
      <c r="G44" s="1" t="str" cm="1">
        <f t="array" ref="G44">VLOOKUP(Artifacts[[#This Row],[SOP]],_xlfn._xlws.FILTER(Roles[],Roles[Type of RACI]="C"),2,FALSE)</f>
        <v>Produktägare</v>
      </c>
      <c r="H44" s="1" t="str" cm="1">
        <f t="array" ref="H44">VLOOKUP(Artifacts[[#This Row],[SOP]],_xlfn._xlws.FILTER(Roles[],Roles[Type of RACI]="I"),2,FALSE)</f>
        <v>Business Analyst</v>
      </c>
      <c r="I44" s="1" t="str">
        <f>VLOOKUP(Artifacts[[#This Row],[SOP]],SOP[#All],3,FALSE)</f>
        <v>Målarkitektur</v>
      </c>
      <c r="J44" s="1" t="str">
        <f>VLOOKUP(Artifacts[[#This Row],[SOP]],SOP[#All],2,FALSE)</f>
        <v>Etablera arkitekturmål</v>
      </c>
    </row>
    <row r="45" spans="1:10" x14ac:dyDescent="0.2">
      <c r="A45" s="1" t="s">
        <v>39</v>
      </c>
      <c r="B45" s="1" t="s">
        <v>38</v>
      </c>
      <c r="C45" s="1" t="s">
        <v>11</v>
      </c>
      <c r="D45" s="1">
        <f>COUNTIFS(Artifacts[Artifact],Artifacts[[#This Row],[Artifact]],Artifacts[Input or output],"output")</f>
        <v>1</v>
      </c>
      <c r="E45" s="1" t="str" cm="1">
        <f t="array" ref="E45">VLOOKUP(Artifacts[[#This Row],[SOP]],_xlfn._xlws.FILTER(Roles[],Roles[Type of RACI]="R"),2,FALSE)</f>
        <v>Lösningsarkitekt</v>
      </c>
      <c r="F45" s="1" t="str" cm="1">
        <f t="array" ref="F45">VLOOKUP(Artifacts[[#This Row],[SOP]],_xlfn._xlws.FILTER(Roles[],Roles[Type of RACI]="A"),2,FALSE)</f>
        <v>Enterprise Arkitekt</v>
      </c>
      <c r="G45" s="1" t="str" cm="1">
        <f t="array" ref="G45">VLOOKUP(Artifacts[[#This Row],[SOP]],_xlfn._xlws.FILTER(Roles[],Roles[Type of RACI]="C"),2,FALSE)</f>
        <v>Produktägare</v>
      </c>
      <c r="H45" s="1" t="str" cm="1">
        <f t="array" ref="H45">VLOOKUP(Artifacts[[#This Row],[SOP]],_xlfn._xlws.FILTER(Roles[],Roles[Type of RACI]="I"),2,FALSE)</f>
        <v>Business Analyst</v>
      </c>
      <c r="I45" s="1" t="str">
        <f>VLOOKUP(Artifacts[[#This Row],[SOP]],SOP[#All],3,FALSE)</f>
        <v>Målarkitektur</v>
      </c>
      <c r="J45" s="1" t="str">
        <f>VLOOKUP(Artifacts[[#This Row],[SOP]],SOP[#All],2,FALSE)</f>
        <v>Etablera arkitekturmål</v>
      </c>
    </row>
    <row r="46" spans="1:10" x14ac:dyDescent="0.2">
      <c r="A46" s="1" t="s">
        <v>41</v>
      </c>
      <c r="B46" s="1" t="s">
        <v>38</v>
      </c>
      <c r="C46" s="1" t="s">
        <v>11</v>
      </c>
      <c r="D46" s="1">
        <f>COUNTIFS(Artifacts[Artifact],Artifacts[[#This Row],[Artifact]],Artifacts[Input or output],"output")</f>
        <v>2</v>
      </c>
      <c r="E46" s="1" t="str" cm="1">
        <f t="array" ref="E46">VLOOKUP(Artifacts[[#This Row],[SOP]],_xlfn._xlws.FILTER(Roles[],Roles[Type of RACI]="R"),2,FALSE)</f>
        <v>Lösningsarkitekt</v>
      </c>
      <c r="F46" s="1" t="str" cm="1">
        <f t="array" ref="F46">VLOOKUP(Artifacts[[#This Row],[SOP]],_xlfn._xlws.FILTER(Roles[],Roles[Type of RACI]="A"),2,FALSE)</f>
        <v>Enterprise Arkitekt</v>
      </c>
      <c r="G46" s="1" t="str" cm="1">
        <f t="array" ref="G46">VLOOKUP(Artifacts[[#This Row],[SOP]],_xlfn._xlws.FILTER(Roles[],Roles[Type of RACI]="C"),2,FALSE)</f>
        <v>Produktägare</v>
      </c>
      <c r="H46" s="1" t="str" cm="1">
        <f t="array" ref="H46">VLOOKUP(Artifacts[[#This Row],[SOP]],_xlfn._xlws.FILTER(Roles[],Roles[Type of RACI]="I"),2,FALSE)</f>
        <v>Business Analyst</v>
      </c>
      <c r="I46" s="1" t="str">
        <f>VLOOKUP(Artifacts[[#This Row],[SOP]],SOP[#All],3,FALSE)</f>
        <v>Målarkitektur</v>
      </c>
      <c r="J46" s="1" t="str">
        <f>VLOOKUP(Artifacts[[#This Row],[SOP]],SOP[#All],2,FALSE)</f>
        <v>Etablera arkitekturmål</v>
      </c>
    </row>
    <row r="47" spans="1:10" hidden="1" x14ac:dyDescent="0.2">
      <c r="A47" s="1" t="s">
        <v>39</v>
      </c>
      <c r="B47" s="1" t="s">
        <v>42</v>
      </c>
      <c r="C47" s="1" t="s">
        <v>9</v>
      </c>
      <c r="D47" s="1">
        <f>COUNTIFS(Artifacts[Artifact],Artifacts[[#This Row],[Artifact]],Artifacts[Input or output],"output")</f>
        <v>1</v>
      </c>
      <c r="E47" s="1" t="str" cm="1">
        <f t="array" ref="E47">VLOOKUP(Artifacts[[#This Row],[SOP]],_xlfn._xlws.FILTER(Roles[],Roles[Type of RACI]="R"),2,FALSE)</f>
        <v>Lösningsarkitekt</v>
      </c>
      <c r="F47" s="1" t="str" cm="1">
        <f t="array" ref="F47">VLOOKUP(Artifacts[[#This Row],[SOP]],_xlfn._xlws.FILTER(Roles[],Roles[Type of RACI]="A"),2,FALSE)</f>
        <v>Enterprise Arkitekt</v>
      </c>
      <c r="G47" s="1" t="str" cm="1">
        <f t="array" ref="G47">VLOOKUP(Artifacts[[#This Row],[SOP]],_xlfn._xlws.FILTER(Roles[],Roles[Type of RACI]="C"),2,FALSE)</f>
        <v>Teknisk Lead</v>
      </c>
      <c r="H47" s="1" t="str" cm="1">
        <f t="array" ref="H47">VLOOKUP(Artifacts[[#This Row],[SOP]],_xlfn._xlws.FILTER(Roles[],Roles[Type of RACI]="I"),2,FALSE)</f>
        <v>Produktägare</v>
      </c>
      <c r="I47" s="1" t="str">
        <f>VLOOKUP(Artifacts[[#This Row],[SOP]],SOP[#All],3,FALSE)</f>
        <v>Målarkitektur</v>
      </c>
      <c r="J47" s="1" t="str">
        <f>VLOOKUP(Artifacts[[#This Row],[SOP]],SOP[#All],2,FALSE)</f>
        <v>Definiera systemlandskap</v>
      </c>
    </row>
    <row r="48" spans="1:10" hidden="1" x14ac:dyDescent="0.2">
      <c r="A48" s="1" t="s">
        <v>7</v>
      </c>
      <c r="B48" s="1" t="s">
        <v>42</v>
      </c>
      <c r="C48" s="1" t="s">
        <v>9</v>
      </c>
      <c r="D48" s="1">
        <f>COUNTIFS(Artifacts[Artifact],Artifacts[[#This Row],[Artifact]],Artifacts[Input or output],"output")</f>
        <v>1</v>
      </c>
      <c r="E48" s="1" t="str" cm="1">
        <f t="array" ref="E48">VLOOKUP(Artifacts[[#This Row],[SOP]],_xlfn._xlws.FILTER(Roles[],Roles[Type of RACI]="R"),2,FALSE)</f>
        <v>Lösningsarkitekt</v>
      </c>
      <c r="F48" s="1" t="str" cm="1">
        <f t="array" ref="F48">VLOOKUP(Artifacts[[#This Row],[SOP]],_xlfn._xlws.FILTER(Roles[],Roles[Type of RACI]="A"),2,FALSE)</f>
        <v>Enterprise Arkitekt</v>
      </c>
      <c r="G48" s="1" t="str" cm="1">
        <f t="array" ref="G48">VLOOKUP(Artifacts[[#This Row],[SOP]],_xlfn._xlws.FILTER(Roles[],Roles[Type of RACI]="C"),2,FALSE)</f>
        <v>Teknisk Lead</v>
      </c>
      <c r="H48" s="1" t="str" cm="1">
        <f t="array" ref="H48">VLOOKUP(Artifacts[[#This Row],[SOP]],_xlfn._xlws.FILTER(Roles[],Roles[Type of RACI]="I"),2,FALSE)</f>
        <v>Produktägare</v>
      </c>
      <c r="I48" s="1" t="str">
        <f>VLOOKUP(Artifacts[[#This Row],[SOP]],SOP[#All],3,FALSE)</f>
        <v>Målarkitektur</v>
      </c>
      <c r="J48" s="1" t="str">
        <f>VLOOKUP(Artifacts[[#This Row],[SOP]],SOP[#All],2,FALSE)</f>
        <v>Definiera systemlandskap</v>
      </c>
    </row>
    <row r="49" spans="1:10" hidden="1" x14ac:dyDescent="0.2">
      <c r="A49" s="1" t="s">
        <v>19</v>
      </c>
      <c r="B49" s="1" t="s">
        <v>42</v>
      </c>
      <c r="C49" s="1" t="s">
        <v>9</v>
      </c>
      <c r="D49" s="1">
        <f>COUNTIFS(Artifacts[Artifact],Artifacts[[#This Row],[Artifact]],Artifacts[Input or output],"output")</f>
        <v>2</v>
      </c>
      <c r="E49" s="1" t="str" cm="1">
        <f t="array" ref="E49">VLOOKUP(Artifacts[[#This Row],[SOP]],_xlfn._xlws.FILTER(Roles[],Roles[Type of RACI]="R"),2,FALSE)</f>
        <v>Lösningsarkitekt</v>
      </c>
      <c r="F49" s="1" t="str" cm="1">
        <f t="array" ref="F49">VLOOKUP(Artifacts[[#This Row],[SOP]],_xlfn._xlws.FILTER(Roles[],Roles[Type of RACI]="A"),2,FALSE)</f>
        <v>Enterprise Arkitekt</v>
      </c>
      <c r="G49" s="1" t="str" cm="1">
        <f t="array" ref="G49">VLOOKUP(Artifacts[[#This Row],[SOP]],_xlfn._xlws.FILTER(Roles[],Roles[Type of RACI]="C"),2,FALSE)</f>
        <v>Teknisk Lead</v>
      </c>
      <c r="H49" s="1" t="str" cm="1">
        <f t="array" ref="H49">VLOOKUP(Artifacts[[#This Row],[SOP]],_xlfn._xlws.FILTER(Roles[],Roles[Type of RACI]="I"),2,FALSE)</f>
        <v>Produktägare</v>
      </c>
      <c r="I49" s="1" t="str">
        <f>VLOOKUP(Artifacts[[#This Row],[SOP]],SOP[#All],3,FALSE)</f>
        <v>Målarkitektur</v>
      </c>
      <c r="J49" s="1" t="str">
        <f>VLOOKUP(Artifacts[[#This Row],[SOP]],SOP[#All],2,FALSE)</f>
        <v>Definiera systemlandskap</v>
      </c>
    </row>
    <row r="50" spans="1:10" x14ac:dyDescent="0.2">
      <c r="A50" s="1" t="s">
        <v>43</v>
      </c>
      <c r="B50" s="1" t="s">
        <v>42</v>
      </c>
      <c r="C50" s="1" t="s">
        <v>11</v>
      </c>
      <c r="D50" s="1">
        <f>COUNTIFS(Artifacts[Artifact],Artifacts[[#This Row],[Artifact]],Artifacts[Input or output],"output")</f>
        <v>1</v>
      </c>
      <c r="E50" s="1" t="str" cm="1">
        <f t="array" ref="E50">VLOOKUP(Artifacts[[#This Row],[SOP]],_xlfn._xlws.FILTER(Roles[],Roles[Type of RACI]="R"),2,FALSE)</f>
        <v>Lösningsarkitekt</v>
      </c>
      <c r="F50" s="1" t="str" cm="1">
        <f t="array" ref="F50">VLOOKUP(Artifacts[[#This Row],[SOP]],_xlfn._xlws.FILTER(Roles[],Roles[Type of RACI]="A"),2,FALSE)</f>
        <v>Enterprise Arkitekt</v>
      </c>
      <c r="G50" s="1" t="str" cm="1">
        <f t="array" ref="G50">VLOOKUP(Artifacts[[#This Row],[SOP]],_xlfn._xlws.FILTER(Roles[],Roles[Type of RACI]="C"),2,FALSE)</f>
        <v>Teknisk Lead</v>
      </c>
      <c r="H50" s="1" t="str" cm="1">
        <f t="array" ref="H50">VLOOKUP(Artifacts[[#This Row],[SOP]],_xlfn._xlws.FILTER(Roles[],Roles[Type of RACI]="I"),2,FALSE)</f>
        <v>Produktägare</v>
      </c>
      <c r="I50" s="1" t="str">
        <f>VLOOKUP(Artifacts[[#This Row],[SOP]],SOP[#All],3,FALSE)</f>
        <v>Målarkitektur</v>
      </c>
      <c r="J50" s="1" t="str">
        <f>VLOOKUP(Artifacts[[#This Row],[SOP]],SOP[#All],2,FALSE)</f>
        <v>Definiera systemlandskap</v>
      </c>
    </row>
    <row r="51" spans="1:10" hidden="1" x14ac:dyDescent="0.2">
      <c r="A51" s="1" t="s">
        <v>43</v>
      </c>
      <c r="B51" s="1" t="s">
        <v>44</v>
      </c>
      <c r="C51" s="1" t="s">
        <v>9</v>
      </c>
      <c r="D51" s="1">
        <f>COUNTIFS(Artifacts[Artifact],Artifacts[[#This Row],[Artifact]],Artifacts[Input or output],"output")</f>
        <v>1</v>
      </c>
      <c r="E51" s="1" t="str" cm="1">
        <f t="array" ref="E51">VLOOKUP(Artifacts[[#This Row],[SOP]],_xlfn._xlws.FILTER(Roles[],Roles[Type of RACI]="R"),2,FALSE)</f>
        <v>Business Analyst</v>
      </c>
      <c r="F51" s="1" t="str" cm="1">
        <f t="array" ref="F51">VLOOKUP(Artifacts[[#This Row],[SOP]],_xlfn._xlws.FILTER(Roles[],Roles[Type of RACI]="A"),2,FALSE)</f>
        <v>Lösningsarkitekt</v>
      </c>
      <c r="G51" s="1" t="str" cm="1">
        <f t="array" ref="G51">VLOOKUP(Artifacts[[#This Row],[SOP]],_xlfn._xlws.FILTER(Roles[],Roles[Type of RACI]="C"),2,FALSE)</f>
        <v>Verksamhetsexperter</v>
      </c>
      <c r="H51" s="1" t="str" cm="1">
        <f t="array" ref="H51">VLOOKUP(Artifacts[[#This Row],[SOP]],_xlfn._xlws.FILTER(Roles[],Roles[Type of RACI]="I"),2,FALSE)</f>
        <v>Produktägare</v>
      </c>
      <c r="I51" s="1" t="str">
        <f>VLOOKUP(Artifacts[[#This Row],[SOP]],SOP[#All],3,FALSE)</f>
        <v>Målarkitektur</v>
      </c>
      <c r="J51" s="1" t="str">
        <f>VLOOKUP(Artifacts[[#This Row],[SOP]],SOP[#All],2,FALSE)</f>
        <v>Definiera domänmodell</v>
      </c>
    </row>
    <row r="52" spans="1:10" hidden="1" x14ac:dyDescent="0.2">
      <c r="A52" s="1" t="s">
        <v>24</v>
      </c>
      <c r="B52" s="1" t="s">
        <v>44</v>
      </c>
      <c r="C52" s="1" t="s">
        <v>9</v>
      </c>
      <c r="D52" s="1">
        <f>COUNTIFS(Artifacts[Artifact],Artifacts[[#This Row],[Artifact]],Artifacts[Input or output],"output")</f>
        <v>2</v>
      </c>
      <c r="E52" s="1" t="str" cm="1">
        <f t="array" ref="E52">VLOOKUP(Artifacts[[#This Row],[SOP]],_xlfn._xlws.FILTER(Roles[],Roles[Type of RACI]="R"),2,FALSE)</f>
        <v>Business Analyst</v>
      </c>
      <c r="F52" s="1" t="str" cm="1">
        <f t="array" ref="F52">VLOOKUP(Artifacts[[#This Row],[SOP]],_xlfn._xlws.FILTER(Roles[],Roles[Type of RACI]="A"),2,FALSE)</f>
        <v>Lösningsarkitekt</v>
      </c>
      <c r="G52" s="1" t="str" cm="1">
        <f t="array" ref="G52">VLOOKUP(Artifacts[[#This Row],[SOP]],_xlfn._xlws.FILTER(Roles[],Roles[Type of RACI]="C"),2,FALSE)</f>
        <v>Verksamhetsexperter</v>
      </c>
      <c r="H52" s="1" t="str" cm="1">
        <f t="array" ref="H52">VLOOKUP(Artifacts[[#This Row],[SOP]],_xlfn._xlws.FILTER(Roles[],Roles[Type of RACI]="I"),2,FALSE)</f>
        <v>Produktägare</v>
      </c>
      <c r="I52" s="1" t="str">
        <f>VLOOKUP(Artifacts[[#This Row],[SOP]],SOP[#All],3,FALSE)</f>
        <v>Målarkitektur</v>
      </c>
      <c r="J52" s="1" t="str">
        <f>VLOOKUP(Artifacts[[#This Row],[SOP]],SOP[#All],2,FALSE)</f>
        <v>Definiera domänmodell</v>
      </c>
    </row>
    <row r="53" spans="1:10" hidden="1" x14ac:dyDescent="0.2">
      <c r="A53" s="1" t="s">
        <v>22</v>
      </c>
      <c r="B53" s="1" t="s">
        <v>44</v>
      </c>
      <c r="C53" s="1" t="s">
        <v>9</v>
      </c>
      <c r="D53" s="1">
        <f>COUNTIFS(Artifacts[Artifact],Artifacts[[#This Row],[Artifact]],Artifacts[Input or output],"output")</f>
        <v>0</v>
      </c>
      <c r="E53" s="1" t="str" cm="1">
        <f t="array" ref="E53">VLOOKUP(Artifacts[[#This Row],[SOP]],_xlfn._xlws.FILTER(Roles[],Roles[Type of RACI]="R"),2,FALSE)</f>
        <v>Business Analyst</v>
      </c>
      <c r="F53" s="1" t="str" cm="1">
        <f t="array" ref="F53">VLOOKUP(Artifacts[[#This Row],[SOP]],_xlfn._xlws.FILTER(Roles[],Roles[Type of RACI]="A"),2,FALSE)</f>
        <v>Lösningsarkitekt</v>
      </c>
      <c r="G53" s="1" t="str" cm="1">
        <f t="array" ref="G53">VLOOKUP(Artifacts[[#This Row],[SOP]],_xlfn._xlws.FILTER(Roles[],Roles[Type of RACI]="C"),2,FALSE)</f>
        <v>Verksamhetsexperter</v>
      </c>
      <c r="H53" s="1" t="str" cm="1">
        <f t="array" ref="H53">VLOOKUP(Artifacts[[#This Row],[SOP]],_xlfn._xlws.FILTER(Roles[],Roles[Type of RACI]="I"),2,FALSE)</f>
        <v>Produktägare</v>
      </c>
      <c r="I53" s="1" t="str">
        <f>VLOOKUP(Artifacts[[#This Row],[SOP]],SOP[#All],3,FALSE)</f>
        <v>Målarkitektur</v>
      </c>
      <c r="J53" s="1" t="str">
        <f>VLOOKUP(Artifacts[[#This Row],[SOP]],SOP[#All],2,FALSE)</f>
        <v>Definiera domänmodell</v>
      </c>
    </row>
    <row r="54" spans="1:10" x14ac:dyDescent="0.2">
      <c r="A54" s="1" t="s">
        <v>23</v>
      </c>
      <c r="B54" s="1" t="s">
        <v>44</v>
      </c>
      <c r="C54" s="1" t="s">
        <v>11</v>
      </c>
      <c r="D54" s="1">
        <f>COUNTIFS(Artifacts[Artifact],Artifacts[[#This Row],[Artifact]],Artifacts[Input or output],"output")</f>
        <v>2</v>
      </c>
      <c r="E54" s="1" t="str" cm="1">
        <f t="array" ref="E54">VLOOKUP(Artifacts[[#This Row],[SOP]],_xlfn._xlws.FILTER(Roles[],Roles[Type of RACI]="R"),2,FALSE)</f>
        <v>Business Analyst</v>
      </c>
      <c r="F54" s="1" t="str" cm="1">
        <f t="array" ref="F54">VLOOKUP(Artifacts[[#This Row],[SOP]],_xlfn._xlws.FILTER(Roles[],Roles[Type of RACI]="A"),2,FALSE)</f>
        <v>Lösningsarkitekt</v>
      </c>
      <c r="G54" s="1" t="str" cm="1">
        <f t="array" ref="G54">VLOOKUP(Artifacts[[#This Row],[SOP]],_xlfn._xlws.FILTER(Roles[],Roles[Type of RACI]="C"),2,FALSE)</f>
        <v>Verksamhetsexperter</v>
      </c>
      <c r="H54" s="1" t="str" cm="1">
        <f t="array" ref="H54">VLOOKUP(Artifacts[[#This Row],[SOP]],_xlfn._xlws.FILTER(Roles[],Roles[Type of RACI]="I"),2,FALSE)</f>
        <v>Produktägare</v>
      </c>
      <c r="I54" s="1" t="str">
        <f>VLOOKUP(Artifacts[[#This Row],[SOP]],SOP[#All],3,FALSE)</f>
        <v>Målarkitektur</v>
      </c>
      <c r="J54" s="1" t="str">
        <f>VLOOKUP(Artifacts[[#This Row],[SOP]],SOP[#All],2,FALSE)</f>
        <v>Definiera domänmodell</v>
      </c>
    </row>
    <row r="55" spans="1:10" x14ac:dyDescent="0.2">
      <c r="A55" s="1" t="s">
        <v>24</v>
      </c>
      <c r="B55" s="1" t="s">
        <v>44</v>
      </c>
      <c r="C55" s="1" t="s">
        <v>11</v>
      </c>
      <c r="D55" s="1">
        <f>COUNTIFS(Artifacts[Artifact],Artifacts[[#This Row],[Artifact]],Artifacts[Input or output],"output")</f>
        <v>2</v>
      </c>
      <c r="E55" s="1" t="str" cm="1">
        <f t="array" ref="E55">VLOOKUP(Artifacts[[#This Row],[SOP]],_xlfn._xlws.FILTER(Roles[],Roles[Type of RACI]="R"),2,FALSE)</f>
        <v>Business Analyst</v>
      </c>
      <c r="F55" s="1" t="str" cm="1">
        <f t="array" ref="F55">VLOOKUP(Artifacts[[#This Row],[SOP]],_xlfn._xlws.FILTER(Roles[],Roles[Type of RACI]="A"),2,FALSE)</f>
        <v>Lösningsarkitekt</v>
      </c>
      <c r="G55" s="1" t="str" cm="1">
        <f t="array" ref="G55">VLOOKUP(Artifacts[[#This Row],[SOP]],_xlfn._xlws.FILTER(Roles[],Roles[Type of RACI]="C"),2,FALSE)</f>
        <v>Verksamhetsexperter</v>
      </c>
      <c r="H55" s="1" t="str" cm="1">
        <f t="array" ref="H55">VLOOKUP(Artifacts[[#This Row],[SOP]],_xlfn._xlws.FILTER(Roles[],Roles[Type of RACI]="I"),2,FALSE)</f>
        <v>Produktägare</v>
      </c>
      <c r="I55" s="1" t="str">
        <f>VLOOKUP(Artifacts[[#This Row],[SOP]],SOP[#All],3,FALSE)</f>
        <v>Målarkitektur</v>
      </c>
      <c r="J55" s="1" t="str">
        <f>VLOOKUP(Artifacts[[#This Row],[SOP]],SOP[#All],2,FALSE)</f>
        <v>Definiera domänmodell</v>
      </c>
    </row>
    <row r="56" spans="1:10" hidden="1" x14ac:dyDescent="0.2">
      <c r="A56" s="1" t="s">
        <v>43</v>
      </c>
      <c r="B56" s="1" t="s">
        <v>45</v>
      </c>
      <c r="C56" s="1" t="s">
        <v>9</v>
      </c>
      <c r="D56" s="1">
        <f>COUNTIFS(Artifacts[Artifact],Artifacts[[#This Row],[Artifact]],Artifacts[Input or output],"output")</f>
        <v>1</v>
      </c>
      <c r="E56" s="1" t="str" cm="1">
        <f t="array" ref="E56">VLOOKUP(Artifacts[[#This Row],[SOP]],_xlfn._xlws.FILTER(Roles[],Roles[Type of RACI]="R"),2,FALSE)</f>
        <v>Lösningsarkitekt</v>
      </c>
      <c r="F56" s="1" t="str" cm="1">
        <f t="array" ref="F56">VLOOKUP(Artifacts[[#This Row],[SOP]],_xlfn._xlws.FILTER(Roles[],Roles[Type of RACI]="A"),2,FALSE)</f>
        <v>Enterprise Arkitekt</v>
      </c>
      <c r="G56" s="1" t="str" cm="1">
        <f t="array" ref="G56">VLOOKUP(Artifacts[[#This Row],[SOP]],_xlfn._xlws.FILTER(Roles[],Roles[Type of RACI]="C"),2,FALSE)</f>
        <v>Teknisk Lead</v>
      </c>
      <c r="H56" s="1" t="str" cm="1">
        <f t="array" ref="H56">VLOOKUP(Artifacts[[#This Row],[SOP]],_xlfn._xlws.FILTER(Roles[],Roles[Type of RACI]="I"),2,FALSE)</f>
        <v>Produktägare</v>
      </c>
      <c r="I56" s="1" t="str">
        <f>VLOOKUP(Artifacts[[#This Row],[SOP]],SOP[#All],3,FALSE)</f>
        <v>Målarkitektur</v>
      </c>
      <c r="J56" s="1" t="str">
        <f>VLOOKUP(Artifacts[[#This Row],[SOP]],SOP[#All],2,FALSE)</f>
        <v>Definiera integrationsarkitektur</v>
      </c>
    </row>
    <row r="57" spans="1:10" hidden="1" x14ac:dyDescent="0.2">
      <c r="A57" s="1" t="s">
        <v>23</v>
      </c>
      <c r="B57" s="1" t="s">
        <v>45</v>
      </c>
      <c r="C57" s="1" t="s">
        <v>9</v>
      </c>
      <c r="D57" s="1">
        <f>COUNTIFS(Artifacts[Artifact],Artifacts[[#This Row],[Artifact]],Artifacts[Input or output],"output")</f>
        <v>2</v>
      </c>
      <c r="E57" s="1" t="str" cm="1">
        <f t="array" ref="E57">VLOOKUP(Artifacts[[#This Row],[SOP]],_xlfn._xlws.FILTER(Roles[],Roles[Type of RACI]="R"),2,FALSE)</f>
        <v>Lösningsarkitekt</v>
      </c>
      <c r="F57" s="1" t="str" cm="1">
        <f t="array" ref="F57">VLOOKUP(Artifacts[[#This Row],[SOP]],_xlfn._xlws.FILTER(Roles[],Roles[Type of RACI]="A"),2,FALSE)</f>
        <v>Enterprise Arkitekt</v>
      </c>
      <c r="G57" s="1" t="str" cm="1">
        <f t="array" ref="G57">VLOOKUP(Artifacts[[#This Row],[SOP]],_xlfn._xlws.FILTER(Roles[],Roles[Type of RACI]="C"),2,FALSE)</f>
        <v>Teknisk Lead</v>
      </c>
      <c r="H57" s="1" t="str" cm="1">
        <f t="array" ref="H57">VLOOKUP(Artifacts[[#This Row],[SOP]],_xlfn._xlws.FILTER(Roles[],Roles[Type of RACI]="I"),2,FALSE)</f>
        <v>Produktägare</v>
      </c>
      <c r="I57" s="1" t="str">
        <f>VLOOKUP(Artifacts[[#This Row],[SOP]],SOP[#All],3,FALSE)</f>
        <v>Målarkitektur</v>
      </c>
      <c r="J57" s="1" t="str">
        <f>VLOOKUP(Artifacts[[#This Row],[SOP]],SOP[#All],2,FALSE)</f>
        <v>Definiera integrationsarkitektur</v>
      </c>
    </row>
    <row r="58" spans="1:10" hidden="1" x14ac:dyDescent="0.2">
      <c r="A58" s="1" t="s">
        <v>46</v>
      </c>
      <c r="B58" s="1" t="s">
        <v>45</v>
      </c>
      <c r="C58" s="1" t="s">
        <v>9</v>
      </c>
      <c r="D58" s="1">
        <f>COUNTIFS(Artifacts[Artifact],Artifacts[[#This Row],[Artifact]],Artifacts[Input or output],"output")</f>
        <v>1</v>
      </c>
      <c r="E58" s="1" t="str" cm="1">
        <f t="array" ref="E58">VLOOKUP(Artifacts[[#This Row],[SOP]],_xlfn._xlws.FILTER(Roles[],Roles[Type of RACI]="R"),2,FALSE)</f>
        <v>Lösningsarkitekt</v>
      </c>
      <c r="F58" s="1" t="str" cm="1">
        <f t="array" ref="F58">VLOOKUP(Artifacts[[#This Row],[SOP]],_xlfn._xlws.FILTER(Roles[],Roles[Type of RACI]="A"),2,FALSE)</f>
        <v>Enterprise Arkitekt</v>
      </c>
      <c r="G58" s="1" t="str" cm="1">
        <f t="array" ref="G58">VLOOKUP(Artifacts[[#This Row],[SOP]],_xlfn._xlws.FILTER(Roles[],Roles[Type of RACI]="C"),2,FALSE)</f>
        <v>Teknisk Lead</v>
      </c>
      <c r="H58" s="1" t="str" cm="1">
        <f t="array" ref="H58">VLOOKUP(Artifacts[[#This Row],[SOP]],_xlfn._xlws.FILTER(Roles[],Roles[Type of RACI]="I"),2,FALSE)</f>
        <v>Produktägare</v>
      </c>
      <c r="I58" s="1" t="str">
        <f>VLOOKUP(Artifacts[[#This Row],[SOP]],SOP[#All],3,FALSE)</f>
        <v>Målarkitektur</v>
      </c>
      <c r="J58" s="1" t="str">
        <f>VLOOKUP(Artifacts[[#This Row],[SOP]],SOP[#All],2,FALSE)</f>
        <v>Definiera integrationsarkitektur</v>
      </c>
    </row>
    <row r="59" spans="1:10" x14ac:dyDescent="0.2">
      <c r="A59" s="1" t="s">
        <v>47</v>
      </c>
      <c r="B59" s="1" t="s">
        <v>45</v>
      </c>
      <c r="C59" s="1" t="s">
        <v>11</v>
      </c>
      <c r="D59" s="1">
        <f>COUNTIFS(Artifacts[Artifact],Artifacts[[#This Row],[Artifact]],Artifacts[Input or output],"output")</f>
        <v>1</v>
      </c>
      <c r="E59" s="1" t="str" cm="1">
        <f t="array" ref="E59">VLOOKUP(Artifacts[[#This Row],[SOP]],_xlfn._xlws.FILTER(Roles[],Roles[Type of RACI]="R"),2,FALSE)</f>
        <v>Lösningsarkitekt</v>
      </c>
      <c r="F59" s="1" t="str" cm="1">
        <f t="array" ref="F59">VLOOKUP(Artifacts[[#This Row],[SOP]],_xlfn._xlws.FILTER(Roles[],Roles[Type of RACI]="A"),2,FALSE)</f>
        <v>Enterprise Arkitekt</v>
      </c>
      <c r="G59" s="1" t="str" cm="1">
        <f t="array" ref="G59">VLOOKUP(Artifacts[[#This Row],[SOP]],_xlfn._xlws.FILTER(Roles[],Roles[Type of RACI]="C"),2,FALSE)</f>
        <v>Teknisk Lead</v>
      </c>
      <c r="H59" s="1" t="str" cm="1">
        <f t="array" ref="H59">VLOOKUP(Artifacts[[#This Row],[SOP]],_xlfn._xlws.FILTER(Roles[],Roles[Type of RACI]="I"),2,FALSE)</f>
        <v>Produktägare</v>
      </c>
      <c r="I59" s="1" t="str">
        <f>VLOOKUP(Artifacts[[#This Row],[SOP]],SOP[#All],3,FALSE)</f>
        <v>Målarkitektur</v>
      </c>
      <c r="J59" s="1" t="str">
        <f>VLOOKUP(Artifacts[[#This Row],[SOP]],SOP[#All],2,FALSE)</f>
        <v>Definiera integrationsarkitektur</v>
      </c>
    </row>
    <row r="60" spans="1:10" x14ac:dyDescent="0.2">
      <c r="A60" s="1" t="s">
        <v>48</v>
      </c>
      <c r="B60" s="1" t="s">
        <v>45</v>
      </c>
      <c r="C60" s="1" t="s">
        <v>11</v>
      </c>
      <c r="D60" s="1">
        <f>COUNTIFS(Artifacts[Artifact],Artifacts[[#This Row],[Artifact]],Artifacts[Input or output],"output")</f>
        <v>1</v>
      </c>
      <c r="E60" s="1" t="str" cm="1">
        <f t="array" ref="E60">VLOOKUP(Artifacts[[#This Row],[SOP]],_xlfn._xlws.FILTER(Roles[],Roles[Type of RACI]="R"),2,FALSE)</f>
        <v>Lösningsarkitekt</v>
      </c>
      <c r="F60" s="1" t="str" cm="1">
        <f t="array" ref="F60">VLOOKUP(Artifacts[[#This Row],[SOP]],_xlfn._xlws.FILTER(Roles[],Roles[Type of RACI]="A"),2,FALSE)</f>
        <v>Enterprise Arkitekt</v>
      </c>
      <c r="G60" s="1" t="str" cm="1">
        <f t="array" ref="G60">VLOOKUP(Artifacts[[#This Row],[SOP]],_xlfn._xlws.FILTER(Roles[],Roles[Type of RACI]="C"),2,FALSE)</f>
        <v>Teknisk Lead</v>
      </c>
      <c r="H60" s="1" t="str" cm="1">
        <f t="array" ref="H60">VLOOKUP(Artifacts[[#This Row],[SOP]],_xlfn._xlws.FILTER(Roles[],Roles[Type of RACI]="I"),2,FALSE)</f>
        <v>Produktägare</v>
      </c>
      <c r="I60" s="1" t="str">
        <f>VLOOKUP(Artifacts[[#This Row],[SOP]],SOP[#All],3,FALSE)</f>
        <v>Målarkitektur</v>
      </c>
      <c r="J60" s="1" t="str">
        <f>VLOOKUP(Artifacts[[#This Row],[SOP]],SOP[#All],2,FALSE)</f>
        <v>Definiera integrationsarkitektur</v>
      </c>
    </row>
    <row r="61" spans="1:10" hidden="1" x14ac:dyDescent="0.2">
      <c r="A61" s="1" t="s">
        <v>47</v>
      </c>
      <c r="B61" s="1" t="s">
        <v>49</v>
      </c>
      <c r="C61" s="1" t="s">
        <v>9</v>
      </c>
      <c r="D61" s="1">
        <f>COUNTIFS(Artifacts[Artifact],Artifacts[[#This Row],[Artifact]],Artifacts[Input or output],"output")</f>
        <v>1</v>
      </c>
      <c r="E61" s="1" t="str" cm="1">
        <f t="array" ref="E61">VLOOKUP(Artifacts[[#This Row],[SOP]],_xlfn._xlws.FILTER(Roles[],Roles[Type of RACI]="R"),2,FALSE)</f>
        <v>Lösningsarkitekt</v>
      </c>
      <c r="F61" s="1" t="str" cm="1">
        <f t="array" ref="F61">VLOOKUP(Artifacts[[#This Row],[SOP]],_xlfn._xlws.FILTER(Roles[],Roles[Type of RACI]="A"),2,FALSE)</f>
        <v>Enterprise Arkitekt</v>
      </c>
      <c r="G61" s="1" t="str" cm="1">
        <f t="array" ref="G61">VLOOKUP(Artifacts[[#This Row],[SOP]],_xlfn._xlws.FILTER(Roles[],Roles[Type of RACI]="C"),2,FALSE)</f>
        <v>Teknisk Lead</v>
      </c>
      <c r="H61" s="1" t="str" cm="1">
        <f t="array" ref="H61">VLOOKUP(Artifacts[[#This Row],[SOP]],_xlfn._xlws.FILTER(Roles[],Roles[Type of RACI]="I"),2,FALSE)</f>
        <v>Produktägare</v>
      </c>
      <c r="I61" s="1" t="str">
        <f>VLOOKUP(Artifacts[[#This Row],[SOP]],SOP[#All],3,FALSE)</f>
        <v>Målarkitektur</v>
      </c>
      <c r="J61" s="1" t="str">
        <f>VLOOKUP(Artifacts[[#This Row],[SOP]],SOP[#All],2,FALSE)</f>
        <v>Definiera API-struktur</v>
      </c>
    </row>
    <row r="62" spans="1:10" hidden="1" x14ac:dyDescent="0.2">
      <c r="A62" s="1" t="s">
        <v>23</v>
      </c>
      <c r="B62" s="1" t="s">
        <v>49</v>
      </c>
      <c r="C62" s="1" t="s">
        <v>9</v>
      </c>
      <c r="D62" s="1">
        <f>COUNTIFS(Artifacts[Artifact],Artifacts[[#This Row],[Artifact]],Artifacts[Input or output],"output")</f>
        <v>2</v>
      </c>
      <c r="E62" s="1" t="str" cm="1">
        <f t="array" ref="E62">VLOOKUP(Artifacts[[#This Row],[SOP]],_xlfn._xlws.FILTER(Roles[],Roles[Type of RACI]="R"),2,FALSE)</f>
        <v>Lösningsarkitekt</v>
      </c>
      <c r="F62" s="1" t="str" cm="1">
        <f t="array" ref="F62">VLOOKUP(Artifacts[[#This Row],[SOP]],_xlfn._xlws.FILTER(Roles[],Roles[Type of RACI]="A"),2,FALSE)</f>
        <v>Enterprise Arkitekt</v>
      </c>
      <c r="G62" s="1" t="str" cm="1">
        <f t="array" ref="G62">VLOOKUP(Artifacts[[#This Row],[SOP]],_xlfn._xlws.FILTER(Roles[],Roles[Type of RACI]="C"),2,FALSE)</f>
        <v>Teknisk Lead</v>
      </c>
      <c r="H62" s="1" t="str" cm="1">
        <f t="array" ref="H62">VLOOKUP(Artifacts[[#This Row],[SOP]],_xlfn._xlws.FILTER(Roles[],Roles[Type of RACI]="I"),2,FALSE)</f>
        <v>Produktägare</v>
      </c>
      <c r="I62" s="1" t="str">
        <f>VLOOKUP(Artifacts[[#This Row],[SOP]],SOP[#All],3,FALSE)</f>
        <v>Målarkitektur</v>
      </c>
      <c r="J62" s="1" t="str">
        <f>VLOOKUP(Artifacts[[#This Row],[SOP]],SOP[#All],2,FALSE)</f>
        <v>Definiera API-struktur</v>
      </c>
    </row>
    <row r="63" spans="1:10" x14ac:dyDescent="0.2">
      <c r="A63" s="1" t="s">
        <v>50</v>
      </c>
      <c r="B63" s="1" t="s">
        <v>49</v>
      </c>
      <c r="C63" s="1" t="s">
        <v>11</v>
      </c>
      <c r="D63" s="1">
        <f>COUNTIFS(Artifacts[Artifact],Artifacts[[#This Row],[Artifact]],Artifacts[Input or output],"output")</f>
        <v>1</v>
      </c>
      <c r="E63" s="1" t="str" cm="1">
        <f t="array" ref="E63">VLOOKUP(Artifacts[[#This Row],[SOP]],_xlfn._xlws.FILTER(Roles[],Roles[Type of RACI]="R"),2,FALSE)</f>
        <v>Lösningsarkitekt</v>
      </c>
      <c r="F63" s="1" t="str" cm="1">
        <f t="array" ref="F63">VLOOKUP(Artifacts[[#This Row],[SOP]],_xlfn._xlws.FILTER(Roles[],Roles[Type of RACI]="A"),2,FALSE)</f>
        <v>Enterprise Arkitekt</v>
      </c>
      <c r="G63" s="1" t="str" cm="1">
        <f t="array" ref="G63">VLOOKUP(Artifacts[[#This Row],[SOP]],_xlfn._xlws.FILTER(Roles[],Roles[Type of RACI]="C"),2,FALSE)</f>
        <v>Teknisk Lead</v>
      </c>
      <c r="H63" s="1" t="str" cm="1">
        <f t="array" ref="H63">VLOOKUP(Artifacts[[#This Row],[SOP]],_xlfn._xlws.FILTER(Roles[],Roles[Type of RACI]="I"),2,FALSE)</f>
        <v>Produktägare</v>
      </c>
      <c r="I63" s="1" t="str">
        <f>VLOOKUP(Artifacts[[#This Row],[SOP]],SOP[#All],3,FALSE)</f>
        <v>Målarkitektur</v>
      </c>
      <c r="J63" s="1" t="str">
        <f>VLOOKUP(Artifacts[[#This Row],[SOP]],SOP[#All],2,FALSE)</f>
        <v>Definiera API-struktur</v>
      </c>
    </row>
    <row r="64" spans="1:10" hidden="1" x14ac:dyDescent="0.2">
      <c r="A64" s="1" t="s">
        <v>23</v>
      </c>
      <c r="B64" s="1" t="s">
        <v>51</v>
      </c>
      <c r="C64" s="1" t="s">
        <v>9</v>
      </c>
      <c r="D64" s="1">
        <f>COUNTIFS(Artifacts[Artifact],Artifacts[[#This Row],[Artifact]],Artifacts[Input or output],"output")</f>
        <v>2</v>
      </c>
      <c r="E64" s="1" t="str" cm="1">
        <f t="array" ref="E64">VLOOKUP(Artifacts[[#This Row],[SOP]],_xlfn._xlws.FILTER(Roles[],Roles[Type of RACI]="R"),2,FALSE)</f>
        <v>Dataarkitekt</v>
      </c>
      <c r="F64" s="1" t="str" cm="1">
        <f t="array" ref="F64">VLOOKUP(Artifacts[[#This Row],[SOP]],_xlfn._xlws.FILTER(Roles[],Roles[Type of RACI]="A"),2,FALSE)</f>
        <v>Lösningsarkitekt</v>
      </c>
      <c r="G64" s="1" t="str" cm="1">
        <f t="array" ref="G64">VLOOKUP(Artifacts[[#This Row],[SOP]],_xlfn._xlws.FILTER(Roles[],Roles[Type of RACI]="C"),2,FALSE)</f>
        <v>Teknisk Lead</v>
      </c>
      <c r="H64" s="1" t="str" cm="1">
        <f t="array" ref="H64">VLOOKUP(Artifacts[[#This Row],[SOP]],_xlfn._xlws.FILTER(Roles[],Roles[Type of RACI]="I"),2,FALSE)</f>
        <v>Produktägare</v>
      </c>
      <c r="I64" s="1" t="str">
        <f>VLOOKUP(Artifacts[[#This Row],[SOP]],SOP[#All],3,FALSE)</f>
        <v>Målarkitektur</v>
      </c>
      <c r="J64" s="1" t="str">
        <f>VLOOKUP(Artifacts[[#This Row],[SOP]],SOP[#All],2,FALSE)</f>
        <v>Definiera datamodell (hög nivå)</v>
      </c>
    </row>
    <row r="65" spans="1:10" hidden="1" x14ac:dyDescent="0.2">
      <c r="A65" s="1" t="s">
        <v>50</v>
      </c>
      <c r="B65" s="1" t="s">
        <v>51</v>
      </c>
      <c r="C65" s="1" t="s">
        <v>9</v>
      </c>
      <c r="D65" s="1">
        <f>COUNTIFS(Artifacts[Artifact],Artifacts[[#This Row],[Artifact]],Artifacts[Input or output],"output")</f>
        <v>1</v>
      </c>
      <c r="E65" s="1" t="str" cm="1">
        <f t="array" ref="E65">VLOOKUP(Artifacts[[#This Row],[SOP]],_xlfn._xlws.FILTER(Roles[],Roles[Type of RACI]="R"),2,FALSE)</f>
        <v>Dataarkitekt</v>
      </c>
      <c r="F65" s="1" t="str" cm="1">
        <f t="array" ref="F65">VLOOKUP(Artifacts[[#This Row],[SOP]],_xlfn._xlws.FILTER(Roles[],Roles[Type of RACI]="A"),2,FALSE)</f>
        <v>Lösningsarkitekt</v>
      </c>
      <c r="G65" s="1" t="str" cm="1">
        <f t="array" ref="G65">VLOOKUP(Artifacts[[#This Row],[SOP]],_xlfn._xlws.FILTER(Roles[],Roles[Type of RACI]="C"),2,FALSE)</f>
        <v>Teknisk Lead</v>
      </c>
      <c r="H65" s="1" t="str" cm="1">
        <f t="array" ref="H65">VLOOKUP(Artifacts[[#This Row],[SOP]],_xlfn._xlws.FILTER(Roles[],Roles[Type of RACI]="I"),2,FALSE)</f>
        <v>Produktägare</v>
      </c>
      <c r="I65" s="1" t="str">
        <f>VLOOKUP(Artifacts[[#This Row],[SOP]],SOP[#All],3,FALSE)</f>
        <v>Målarkitektur</v>
      </c>
      <c r="J65" s="1" t="str">
        <f>VLOOKUP(Artifacts[[#This Row],[SOP]],SOP[#All],2,FALSE)</f>
        <v>Definiera datamodell (hög nivå)</v>
      </c>
    </row>
    <row r="66" spans="1:10" hidden="1" x14ac:dyDescent="0.2">
      <c r="A66" s="1" t="s">
        <v>47</v>
      </c>
      <c r="B66" s="1" t="s">
        <v>51</v>
      </c>
      <c r="C66" s="1" t="s">
        <v>9</v>
      </c>
      <c r="D66" s="1">
        <f>COUNTIFS(Artifacts[Artifact],Artifacts[[#This Row],[Artifact]],Artifacts[Input or output],"output")</f>
        <v>1</v>
      </c>
      <c r="E66" s="1" t="str" cm="1">
        <f t="array" ref="E66">VLOOKUP(Artifacts[[#This Row],[SOP]],_xlfn._xlws.FILTER(Roles[],Roles[Type of RACI]="R"),2,FALSE)</f>
        <v>Dataarkitekt</v>
      </c>
      <c r="F66" s="1" t="str" cm="1">
        <f t="array" ref="F66">VLOOKUP(Artifacts[[#This Row],[SOP]],_xlfn._xlws.FILTER(Roles[],Roles[Type of RACI]="A"),2,FALSE)</f>
        <v>Lösningsarkitekt</v>
      </c>
      <c r="G66" s="1" t="str" cm="1">
        <f t="array" ref="G66">VLOOKUP(Artifacts[[#This Row],[SOP]],_xlfn._xlws.FILTER(Roles[],Roles[Type of RACI]="C"),2,FALSE)</f>
        <v>Teknisk Lead</v>
      </c>
      <c r="H66" s="1" t="str" cm="1">
        <f t="array" ref="H66">VLOOKUP(Artifacts[[#This Row],[SOP]],_xlfn._xlws.FILTER(Roles[],Roles[Type of RACI]="I"),2,FALSE)</f>
        <v>Produktägare</v>
      </c>
      <c r="I66" s="1" t="str">
        <f>VLOOKUP(Artifacts[[#This Row],[SOP]],SOP[#All],3,FALSE)</f>
        <v>Målarkitektur</v>
      </c>
      <c r="J66" s="1" t="str">
        <f>VLOOKUP(Artifacts[[#This Row],[SOP]],SOP[#All],2,FALSE)</f>
        <v>Definiera datamodell (hög nivå)</v>
      </c>
    </row>
    <row r="67" spans="1:10" x14ac:dyDescent="0.2">
      <c r="A67" s="1" t="s">
        <v>46</v>
      </c>
      <c r="B67" s="1" t="s">
        <v>51</v>
      </c>
      <c r="C67" s="1" t="s">
        <v>11</v>
      </c>
      <c r="D67" s="1">
        <f>COUNTIFS(Artifacts[Artifact],Artifacts[[#This Row],[Artifact]],Artifacts[Input or output],"output")</f>
        <v>1</v>
      </c>
      <c r="E67" s="1" t="str" cm="1">
        <f t="array" ref="E67">VLOOKUP(Artifacts[[#This Row],[SOP]],_xlfn._xlws.FILTER(Roles[],Roles[Type of RACI]="R"),2,FALSE)</f>
        <v>Dataarkitekt</v>
      </c>
      <c r="F67" s="1" t="str" cm="1">
        <f t="array" ref="F67">VLOOKUP(Artifacts[[#This Row],[SOP]],_xlfn._xlws.FILTER(Roles[],Roles[Type of RACI]="A"),2,FALSE)</f>
        <v>Lösningsarkitekt</v>
      </c>
      <c r="G67" s="1" t="str" cm="1">
        <f t="array" ref="G67">VLOOKUP(Artifacts[[#This Row],[SOP]],_xlfn._xlws.FILTER(Roles[],Roles[Type of RACI]="C"),2,FALSE)</f>
        <v>Teknisk Lead</v>
      </c>
      <c r="H67" s="1" t="str" cm="1">
        <f t="array" ref="H67">VLOOKUP(Artifacts[[#This Row],[SOP]],_xlfn._xlws.FILTER(Roles[],Roles[Type of RACI]="I"),2,FALSE)</f>
        <v>Produktägare</v>
      </c>
      <c r="I67" s="1" t="str">
        <f>VLOOKUP(Artifacts[[#This Row],[SOP]],SOP[#All],3,FALSE)</f>
        <v>Målarkitektur</v>
      </c>
      <c r="J67" s="1" t="str">
        <f>VLOOKUP(Artifacts[[#This Row],[SOP]],SOP[#All],2,FALSE)</f>
        <v>Definiera datamodell (hög nivå)</v>
      </c>
    </row>
    <row r="68" spans="1:10" x14ac:dyDescent="0.2">
      <c r="A68" s="1" t="s">
        <v>53</v>
      </c>
      <c r="B68" s="1" t="s">
        <v>51</v>
      </c>
      <c r="C68" s="1" t="s">
        <v>11</v>
      </c>
      <c r="D68" s="1">
        <f>COUNTIFS(Artifacts[Artifact],Artifacts[[#This Row],[Artifact]],Artifacts[Input or output],"output")</f>
        <v>1</v>
      </c>
      <c r="E68" s="1" t="str" cm="1">
        <f t="array" ref="E68">VLOOKUP(Artifacts[[#This Row],[SOP]],_xlfn._xlws.FILTER(Roles[],Roles[Type of RACI]="R"),2,FALSE)</f>
        <v>Dataarkitekt</v>
      </c>
      <c r="F68" s="1" t="str" cm="1">
        <f t="array" ref="F68">VLOOKUP(Artifacts[[#This Row],[SOP]],_xlfn._xlws.FILTER(Roles[],Roles[Type of RACI]="A"),2,FALSE)</f>
        <v>Lösningsarkitekt</v>
      </c>
      <c r="G68" s="1" t="str" cm="1">
        <f t="array" ref="G68">VLOOKUP(Artifacts[[#This Row],[SOP]],_xlfn._xlws.FILTER(Roles[],Roles[Type of RACI]="C"),2,FALSE)</f>
        <v>Teknisk Lead</v>
      </c>
      <c r="H68" s="1" t="str" cm="1">
        <f t="array" ref="H68">VLOOKUP(Artifacts[[#This Row],[SOP]],_xlfn._xlws.FILTER(Roles[],Roles[Type of RACI]="I"),2,FALSE)</f>
        <v>Produktägare</v>
      </c>
      <c r="I68" s="1" t="str">
        <f>VLOOKUP(Artifacts[[#This Row],[SOP]],SOP[#All],3,FALSE)</f>
        <v>Målarkitektur</v>
      </c>
      <c r="J68" s="1" t="str">
        <f>VLOOKUP(Artifacts[[#This Row],[SOP]],SOP[#All],2,FALSE)</f>
        <v>Definiera datamodell (hög nivå)</v>
      </c>
    </row>
    <row r="69" spans="1:10" hidden="1" x14ac:dyDescent="0.2">
      <c r="A69" s="1" t="s">
        <v>46</v>
      </c>
      <c r="B69" s="1" t="s">
        <v>54</v>
      </c>
      <c r="C69" s="1" t="s">
        <v>9</v>
      </c>
      <c r="D69" s="1">
        <f>COUNTIFS(Artifacts[Artifact],Artifacts[[#This Row],[Artifact]],Artifacts[Input or output],"output")</f>
        <v>1</v>
      </c>
      <c r="E69" s="1" t="str" cm="1">
        <f t="array" ref="E69">VLOOKUP(Artifacts[[#This Row],[SOP]],_xlfn._xlws.FILTER(Roles[],Roles[Type of RACI]="R"),2,FALSE)</f>
        <v>Lösningsarkitekt</v>
      </c>
      <c r="F69" s="1" t="str" cm="1">
        <f t="array" ref="F69">VLOOKUP(Artifacts[[#This Row],[SOP]],_xlfn._xlws.FILTER(Roles[],Roles[Type of RACI]="A"),2,FALSE)</f>
        <v>Enterprise Arkitekt</v>
      </c>
      <c r="G69" s="1" t="str" cm="1">
        <f t="array" ref="G69">VLOOKUP(Artifacts[[#This Row],[SOP]],_xlfn._xlws.FILTER(Roles[],Roles[Type of RACI]="C"),2,FALSE)</f>
        <v>Teknisk Lead</v>
      </c>
      <c r="H69" s="1" t="str" cm="1">
        <f t="array" ref="H69">VLOOKUP(Artifacts[[#This Row],[SOP]],_xlfn._xlws.FILTER(Roles[],Roles[Type of RACI]="I"),2,FALSE)</f>
        <v>Produktägare</v>
      </c>
      <c r="I69" s="1" t="str">
        <f>VLOOKUP(Artifacts[[#This Row],[SOP]],SOP[#All],3,FALSE)</f>
        <v>Målarkitektur</v>
      </c>
      <c r="J69" s="1" t="str">
        <f>VLOOKUP(Artifacts[[#This Row],[SOP]],SOP[#All],2,FALSE)</f>
        <v>Definiera säkerhetsarkitektur</v>
      </c>
    </row>
    <row r="70" spans="1:10" hidden="1" x14ac:dyDescent="0.2">
      <c r="A70" s="1" t="s">
        <v>47</v>
      </c>
      <c r="B70" s="1" t="s">
        <v>54</v>
      </c>
      <c r="C70" s="1" t="s">
        <v>9</v>
      </c>
      <c r="D70" s="1">
        <f>COUNTIFS(Artifacts[Artifact],Artifacts[[#This Row],[Artifact]],Artifacts[Input or output],"output")</f>
        <v>1</v>
      </c>
      <c r="E70" s="1" t="str" cm="1">
        <f t="array" ref="E70">VLOOKUP(Artifacts[[#This Row],[SOP]],_xlfn._xlws.FILTER(Roles[],Roles[Type of RACI]="R"),2,FALSE)</f>
        <v>Lösningsarkitekt</v>
      </c>
      <c r="F70" s="1" t="str" cm="1">
        <f t="array" ref="F70">VLOOKUP(Artifacts[[#This Row],[SOP]],_xlfn._xlws.FILTER(Roles[],Roles[Type of RACI]="A"),2,FALSE)</f>
        <v>Enterprise Arkitekt</v>
      </c>
      <c r="G70" s="1" t="str" cm="1">
        <f t="array" ref="G70">VLOOKUP(Artifacts[[#This Row],[SOP]],_xlfn._xlws.FILTER(Roles[],Roles[Type of RACI]="C"),2,FALSE)</f>
        <v>Teknisk Lead</v>
      </c>
      <c r="H70" s="1" t="str" cm="1">
        <f t="array" ref="H70">VLOOKUP(Artifacts[[#This Row],[SOP]],_xlfn._xlws.FILTER(Roles[],Roles[Type of RACI]="I"),2,FALSE)</f>
        <v>Produktägare</v>
      </c>
      <c r="I70" s="1" t="str">
        <f>VLOOKUP(Artifacts[[#This Row],[SOP]],SOP[#All],3,FALSE)</f>
        <v>Målarkitektur</v>
      </c>
      <c r="J70" s="1" t="str">
        <f>VLOOKUP(Artifacts[[#This Row],[SOP]],SOP[#All],2,FALSE)</f>
        <v>Definiera säkerhetsarkitektur</v>
      </c>
    </row>
    <row r="71" spans="1:10" hidden="1" x14ac:dyDescent="0.2">
      <c r="A71" s="1" t="s">
        <v>39</v>
      </c>
      <c r="B71" s="1" t="s">
        <v>54</v>
      </c>
      <c r="C71" s="1" t="s">
        <v>9</v>
      </c>
      <c r="D71" s="1">
        <f>COUNTIFS(Artifacts[Artifact],Artifacts[[#This Row],[Artifact]],Artifacts[Input or output],"output")</f>
        <v>1</v>
      </c>
      <c r="E71" s="1" t="str" cm="1">
        <f t="array" ref="E71">VLOOKUP(Artifacts[[#This Row],[SOP]],_xlfn._xlws.FILTER(Roles[],Roles[Type of RACI]="R"),2,FALSE)</f>
        <v>Lösningsarkitekt</v>
      </c>
      <c r="F71" s="1" t="str" cm="1">
        <f t="array" ref="F71">VLOOKUP(Artifacts[[#This Row],[SOP]],_xlfn._xlws.FILTER(Roles[],Roles[Type of RACI]="A"),2,FALSE)</f>
        <v>Enterprise Arkitekt</v>
      </c>
      <c r="G71" s="1" t="str" cm="1">
        <f t="array" ref="G71">VLOOKUP(Artifacts[[#This Row],[SOP]],_xlfn._xlws.FILTER(Roles[],Roles[Type of RACI]="C"),2,FALSE)</f>
        <v>Teknisk Lead</v>
      </c>
      <c r="H71" s="1" t="str" cm="1">
        <f t="array" ref="H71">VLOOKUP(Artifacts[[#This Row],[SOP]],_xlfn._xlws.FILTER(Roles[],Roles[Type of RACI]="I"),2,FALSE)</f>
        <v>Produktägare</v>
      </c>
      <c r="I71" s="1" t="str">
        <f>VLOOKUP(Artifacts[[#This Row],[SOP]],SOP[#All],3,FALSE)</f>
        <v>Målarkitektur</v>
      </c>
      <c r="J71" s="1" t="str">
        <f>VLOOKUP(Artifacts[[#This Row],[SOP]],SOP[#All],2,FALSE)</f>
        <v>Definiera säkerhetsarkitektur</v>
      </c>
    </row>
    <row r="72" spans="1:10" x14ac:dyDescent="0.2">
      <c r="A72" s="1" t="s">
        <v>55</v>
      </c>
      <c r="B72" s="1" t="s">
        <v>54</v>
      </c>
      <c r="C72" s="1" t="s">
        <v>11</v>
      </c>
      <c r="D72" s="1">
        <f>COUNTIFS(Artifacts[Artifact],Artifacts[[#This Row],[Artifact]],Artifacts[Input or output],"output")</f>
        <v>1</v>
      </c>
      <c r="E72" s="1" t="str" cm="1">
        <f t="array" ref="E72">VLOOKUP(Artifacts[[#This Row],[SOP]],_xlfn._xlws.FILTER(Roles[],Roles[Type of RACI]="R"),2,FALSE)</f>
        <v>Lösningsarkitekt</v>
      </c>
      <c r="F72" s="1" t="str" cm="1">
        <f t="array" ref="F72">VLOOKUP(Artifacts[[#This Row],[SOP]],_xlfn._xlws.FILTER(Roles[],Roles[Type of RACI]="A"),2,FALSE)</f>
        <v>Enterprise Arkitekt</v>
      </c>
      <c r="G72" s="1" t="str" cm="1">
        <f t="array" ref="G72">VLOOKUP(Artifacts[[#This Row],[SOP]],_xlfn._xlws.FILTER(Roles[],Roles[Type of RACI]="C"),2,FALSE)</f>
        <v>Teknisk Lead</v>
      </c>
      <c r="H72" s="1" t="str" cm="1">
        <f t="array" ref="H72">VLOOKUP(Artifacts[[#This Row],[SOP]],_xlfn._xlws.FILTER(Roles[],Roles[Type of RACI]="I"),2,FALSE)</f>
        <v>Produktägare</v>
      </c>
      <c r="I72" s="1" t="str">
        <f>VLOOKUP(Artifacts[[#This Row],[SOP]],SOP[#All],3,FALSE)</f>
        <v>Målarkitektur</v>
      </c>
      <c r="J72" s="1" t="str">
        <f>VLOOKUP(Artifacts[[#This Row],[SOP]],SOP[#All],2,FALSE)</f>
        <v>Definiera säkerhetsarkitektur</v>
      </c>
    </row>
    <row r="73" spans="1:10" x14ac:dyDescent="0.2">
      <c r="A73" s="1" t="s">
        <v>56</v>
      </c>
      <c r="B73" s="1" t="s">
        <v>54</v>
      </c>
      <c r="C73" s="1" t="s">
        <v>11</v>
      </c>
      <c r="D73" s="1">
        <f>COUNTIFS(Artifacts[Artifact],Artifacts[[#This Row],[Artifact]],Artifacts[Input or output],"output")</f>
        <v>1</v>
      </c>
      <c r="E73" s="1" t="str" cm="1">
        <f t="array" ref="E73">VLOOKUP(Artifacts[[#This Row],[SOP]],_xlfn._xlws.FILTER(Roles[],Roles[Type of RACI]="R"),2,FALSE)</f>
        <v>Lösningsarkitekt</v>
      </c>
      <c r="F73" s="1" t="str" cm="1">
        <f t="array" ref="F73">VLOOKUP(Artifacts[[#This Row],[SOP]],_xlfn._xlws.FILTER(Roles[],Roles[Type of RACI]="A"),2,FALSE)</f>
        <v>Enterprise Arkitekt</v>
      </c>
      <c r="G73" s="1" t="str" cm="1">
        <f t="array" ref="G73">VLOOKUP(Artifacts[[#This Row],[SOP]],_xlfn._xlws.FILTER(Roles[],Roles[Type of RACI]="C"),2,FALSE)</f>
        <v>Teknisk Lead</v>
      </c>
      <c r="H73" s="1" t="str" cm="1">
        <f t="array" ref="H73">VLOOKUP(Artifacts[[#This Row],[SOP]],_xlfn._xlws.FILTER(Roles[],Roles[Type of RACI]="I"),2,FALSE)</f>
        <v>Produktägare</v>
      </c>
      <c r="I73" s="1" t="str">
        <f>VLOOKUP(Artifacts[[#This Row],[SOP]],SOP[#All],3,FALSE)</f>
        <v>Målarkitektur</v>
      </c>
      <c r="J73" s="1" t="str">
        <f>VLOOKUP(Artifacts[[#This Row],[SOP]],SOP[#All],2,FALSE)</f>
        <v>Definiera säkerhetsarkitektur</v>
      </c>
    </row>
    <row r="74" spans="1:10" hidden="1" x14ac:dyDescent="0.2">
      <c r="A74" s="1" t="s">
        <v>39</v>
      </c>
      <c r="B74" s="1" t="s">
        <v>57</v>
      </c>
      <c r="C74" s="1" t="s">
        <v>9</v>
      </c>
      <c r="D74" s="1">
        <f>COUNTIFS(Artifacts[Artifact],Artifacts[[#This Row],[Artifact]],Artifacts[Input or output],"output")</f>
        <v>1</v>
      </c>
      <c r="E74" s="1" t="str" cm="1">
        <f t="array" ref="E74">VLOOKUP(Artifacts[[#This Row],[SOP]],_xlfn._xlws.FILTER(Roles[],Roles[Type of RACI]="R"),2,FALSE)</f>
        <v>Lösningsarkitekt</v>
      </c>
      <c r="F74" s="1" t="str" cm="1">
        <f t="array" ref="F74">VLOOKUP(Artifacts[[#This Row],[SOP]],_xlfn._xlws.FILTER(Roles[],Roles[Type of RACI]="A"),2,FALSE)</f>
        <v>Enterprise Arkitekt</v>
      </c>
      <c r="G74" s="1" t="str" cm="1">
        <f t="array" ref="G74">VLOOKUP(Artifacts[[#This Row],[SOP]],_xlfn._xlws.FILTER(Roles[],Roles[Type of RACI]="C"),2,FALSE)</f>
        <v>Teknisk Lead</v>
      </c>
      <c r="H74" s="1" t="str" cm="1">
        <f t="array" ref="H74">VLOOKUP(Artifacts[[#This Row],[SOP]],_xlfn._xlws.FILTER(Roles[],Roles[Type of RACI]="I"),2,FALSE)</f>
        <v>Utvecklare</v>
      </c>
      <c r="I74" s="1" t="str">
        <f>VLOOKUP(Artifacts[[#This Row],[SOP]],SOP[#All],3,FALSE)</f>
        <v>Målarkitektur</v>
      </c>
      <c r="J74" s="1" t="str">
        <f>VLOOKUP(Artifacts[[#This Row],[SOP]],SOP[#All],2,FALSE)</f>
        <v>Fastställ arkitekturprinciper</v>
      </c>
    </row>
    <row r="75" spans="1:10" hidden="1" x14ac:dyDescent="0.2">
      <c r="A75" s="1" t="s">
        <v>55</v>
      </c>
      <c r="B75" s="1" t="s">
        <v>57</v>
      </c>
      <c r="C75" s="1" t="s">
        <v>9</v>
      </c>
      <c r="D75" s="1">
        <f>COUNTIFS(Artifacts[Artifact],Artifacts[[#This Row],[Artifact]],Artifacts[Input or output],"output")</f>
        <v>1</v>
      </c>
      <c r="E75" s="1" t="str" cm="1">
        <f t="array" ref="E75">VLOOKUP(Artifacts[[#This Row],[SOP]],_xlfn._xlws.FILTER(Roles[],Roles[Type of RACI]="R"),2,FALSE)</f>
        <v>Lösningsarkitekt</v>
      </c>
      <c r="F75" s="1" t="str" cm="1">
        <f t="array" ref="F75">VLOOKUP(Artifacts[[#This Row],[SOP]],_xlfn._xlws.FILTER(Roles[],Roles[Type of RACI]="A"),2,FALSE)</f>
        <v>Enterprise Arkitekt</v>
      </c>
      <c r="G75" s="1" t="str" cm="1">
        <f t="array" ref="G75">VLOOKUP(Artifacts[[#This Row],[SOP]],_xlfn._xlws.FILTER(Roles[],Roles[Type of RACI]="C"),2,FALSE)</f>
        <v>Teknisk Lead</v>
      </c>
      <c r="H75" s="1" t="str" cm="1">
        <f t="array" ref="H75">VLOOKUP(Artifacts[[#This Row],[SOP]],_xlfn._xlws.FILTER(Roles[],Roles[Type of RACI]="I"),2,FALSE)</f>
        <v>Utvecklare</v>
      </c>
      <c r="I75" s="1" t="str">
        <f>VLOOKUP(Artifacts[[#This Row],[SOP]],SOP[#All],3,FALSE)</f>
        <v>Målarkitektur</v>
      </c>
      <c r="J75" s="1" t="str">
        <f>VLOOKUP(Artifacts[[#This Row],[SOP]],SOP[#All],2,FALSE)</f>
        <v>Fastställ arkitekturprinciper</v>
      </c>
    </row>
    <row r="76" spans="1:10" hidden="1" x14ac:dyDescent="0.2">
      <c r="A76" s="1" t="s">
        <v>47</v>
      </c>
      <c r="B76" s="1" t="s">
        <v>57</v>
      </c>
      <c r="C76" s="1" t="s">
        <v>9</v>
      </c>
      <c r="D76" s="1">
        <f>COUNTIFS(Artifacts[Artifact],Artifacts[[#This Row],[Artifact]],Artifacts[Input or output],"output")</f>
        <v>1</v>
      </c>
      <c r="E76" s="1" t="str" cm="1">
        <f t="array" ref="E76">VLOOKUP(Artifacts[[#This Row],[SOP]],_xlfn._xlws.FILTER(Roles[],Roles[Type of RACI]="R"),2,FALSE)</f>
        <v>Lösningsarkitekt</v>
      </c>
      <c r="F76" s="1" t="str" cm="1">
        <f t="array" ref="F76">VLOOKUP(Artifacts[[#This Row],[SOP]],_xlfn._xlws.FILTER(Roles[],Roles[Type of RACI]="A"),2,FALSE)</f>
        <v>Enterprise Arkitekt</v>
      </c>
      <c r="G76" s="1" t="str" cm="1">
        <f t="array" ref="G76">VLOOKUP(Artifacts[[#This Row],[SOP]],_xlfn._xlws.FILTER(Roles[],Roles[Type of RACI]="C"),2,FALSE)</f>
        <v>Teknisk Lead</v>
      </c>
      <c r="H76" s="1" t="str" cm="1">
        <f t="array" ref="H76">VLOOKUP(Artifacts[[#This Row],[SOP]],_xlfn._xlws.FILTER(Roles[],Roles[Type of RACI]="I"),2,FALSE)</f>
        <v>Utvecklare</v>
      </c>
      <c r="I76" s="1" t="str">
        <f>VLOOKUP(Artifacts[[#This Row],[SOP]],SOP[#All],3,FALSE)</f>
        <v>Målarkitektur</v>
      </c>
      <c r="J76" s="1" t="str">
        <f>VLOOKUP(Artifacts[[#This Row],[SOP]],SOP[#All],2,FALSE)</f>
        <v>Fastställ arkitekturprinciper</v>
      </c>
    </row>
    <row r="77" spans="1:10" hidden="1" x14ac:dyDescent="0.2">
      <c r="A77" s="1" t="s">
        <v>46</v>
      </c>
      <c r="B77" s="1" t="s">
        <v>57</v>
      </c>
      <c r="C77" s="1" t="s">
        <v>9</v>
      </c>
      <c r="D77" s="1">
        <f>COUNTIFS(Artifacts[Artifact],Artifacts[[#This Row],[Artifact]],Artifacts[Input or output],"output")</f>
        <v>1</v>
      </c>
      <c r="E77" s="1" t="str" cm="1">
        <f t="array" ref="E77">VLOOKUP(Artifacts[[#This Row],[SOP]],_xlfn._xlws.FILTER(Roles[],Roles[Type of RACI]="R"),2,FALSE)</f>
        <v>Lösningsarkitekt</v>
      </c>
      <c r="F77" s="1" t="str" cm="1">
        <f t="array" ref="F77">VLOOKUP(Artifacts[[#This Row],[SOP]],_xlfn._xlws.FILTER(Roles[],Roles[Type of RACI]="A"),2,FALSE)</f>
        <v>Enterprise Arkitekt</v>
      </c>
      <c r="G77" s="1" t="str" cm="1">
        <f t="array" ref="G77">VLOOKUP(Artifacts[[#This Row],[SOP]],_xlfn._xlws.FILTER(Roles[],Roles[Type of RACI]="C"),2,FALSE)</f>
        <v>Teknisk Lead</v>
      </c>
      <c r="H77" s="1" t="str" cm="1">
        <f t="array" ref="H77">VLOOKUP(Artifacts[[#This Row],[SOP]],_xlfn._xlws.FILTER(Roles[],Roles[Type of RACI]="I"),2,FALSE)</f>
        <v>Utvecklare</v>
      </c>
      <c r="I77" s="1" t="str">
        <f>VLOOKUP(Artifacts[[#This Row],[SOP]],SOP[#All],3,FALSE)</f>
        <v>Målarkitektur</v>
      </c>
      <c r="J77" s="1" t="str">
        <f>VLOOKUP(Artifacts[[#This Row],[SOP]],SOP[#All],2,FALSE)</f>
        <v>Fastställ arkitekturprinciper</v>
      </c>
    </row>
    <row r="78" spans="1:10" hidden="1" x14ac:dyDescent="0.2">
      <c r="A78" s="1" t="s">
        <v>50</v>
      </c>
      <c r="B78" s="1" t="s">
        <v>57</v>
      </c>
      <c r="C78" s="1" t="s">
        <v>9</v>
      </c>
      <c r="D78" s="1">
        <f>COUNTIFS(Artifacts[Artifact],Artifacts[[#This Row],[Artifact]],Artifacts[Input or output],"output")</f>
        <v>1</v>
      </c>
      <c r="E78" s="1" t="str" cm="1">
        <f t="array" ref="E78">VLOOKUP(Artifacts[[#This Row],[SOP]],_xlfn._xlws.FILTER(Roles[],Roles[Type of RACI]="R"),2,FALSE)</f>
        <v>Lösningsarkitekt</v>
      </c>
      <c r="F78" s="1" t="str" cm="1">
        <f t="array" ref="F78">VLOOKUP(Artifacts[[#This Row],[SOP]],_xlfn._xlws.FILTER(Roles[],Roles[Type of RACI]="A"),2,FALSE)</f>
        <v>Enterprise Arkitekt</v>
      </c>
      <c r="G78" s="1" t="str" cm="1">
        <f t="array" ref="G78">VLOOKUP(Artifacts[[#This Row],[SOP]],_xlfn._xlws.FILTER(Roles[],Roles[Type of RACI]="C"),2,FALSE)</f>
        <v>Teknisk Lead</v>
      </c>
      <c r="H78" s="1" t="str" cm="1">
        <f t="array" ref="H78">VLOOKUP(Artifacts[[#This Row],[SOP]],_xlfn._xlws.FILTER(Roles[],Roles[Type of RACI]="I"),2,FALSE)</f>
        <v>Utvecklare</v>
      </c>
      <c r="I78" s="1" t="str">
        <f>VLOOKUP(Artifacts[[#This Row],[SOP]],SOP[#All],3,FALSE)</f>
        <v>Målarkitektur</v>
      </c>
      <c r="J78" s="1" t="str">
        <f>VLOOKUP(Artifacts[[#This Row],[SOP]],SOP[#All],2,FALSE)</f>
        <v>Fastställ arkitekturprinciper</v>
      </c>
    </row>
    <row r="79" spans="1:10" x14ac:dyDescent="0.2">
      <c r="A79" s="1" t="s">
        <v>41</v>
      </c>
      <c r="B79" s="1" t="s">
        <v>57</v>
      </c>
      <c r="C79" s="1" t="s">
        <v>11</v>
      </c>
      <c r="D79" s="1">
        <f>COUNTIFS(Artifacts[Artifact],Artifacts[[#This Row],[Artifact]],Artifacts[Input or output],"output")</f>
        <v>2</v>
      </c>
      <c r="E79" s="1" t="str" cm="1">
        <f t="array" ref="E79">VLOOKUP(Artifacts[[#This Row],[SOP]],_xlfn._xlws.FILTER(Roles[],Roles[Type of RACI]="R"),2,FALSE)</f>
        <v>Lösningsarkitekt</v>
      </c>
      <c r="F79" s="1" t="str" cm="1">
        <f t="array" ref="F79">VLOOKUP(Artifacts[[#This Row],[SOP]],_xlfn._xlws.FILTER(Roles[],Roles[Type of RACI]="A"),2,FALSE)</f>
        <v>Enterprise Arkitekt</v>
      </c>
      <c r="G79" s="1" t="str" cm="1">
        <f t="array" ref="G79">VLOOKUP(Artifacts[[#This Row],[SOP]],_xlfn._xlws.FILTER(Roles[],Roles[Type of RACI]="C"),2,FALSE)</f>
        <v>Teknisk Lead</v>
      </c>
      <c r="H79" s="1" t="str" cm="1">
        <f t="array" ref="H79">VLOOKUP(Artifacts[[#This Row],[SOP]],_xlfn._xlws.FILTER(Roles[],Roles[Type of RACI]="I"),2,FALSE)</f>
        <v>Utvecklare</v>
      </c>
      <c r="I79" s="1" t="str">
        <f>VLOOKUP(Artifacts[[#This Row],[SOP]],SOP[#All],3,FALSE)</f>
        <v>Målarkitektur</v>
      </c>
      <c r="J79" s="1" t="str">
        <f>VLOOKUP(Artifacts[[#This Row],[SOP]],SOP[#All],2,FALSE)</f>
        <v>Fastställ arkitekturprinciper</v>
      </c>
    </row>
    <row r="80" spans="1:10" hidden="1" x14ac:dyDescent="0.2">
      <c r="A80" s="1" t="s">
        <v>41</v>
      </c>
      <c r="B80" s="1" t="s">
        <v>58</v>
      </c>
      <c r="C80" s="1" t="s">
        <v>9</v>
      </c>
      <c r="D80" s="1">
        <f>COUNTIFS(Artifacts[Artifact],Artifacts[[#This Row],[Artifact]],Artifacts[Input or output],"output")</f>
        <v>2</v>
      </c>
      <c r="E80" s="1" t="str" cm="1">
        <f t="array" ref="E80">VLOOKUP(Artifacts[[#This Row],[SOP]],_xlfn._xlws.FILTER(Roles[],Roles[Type of RACI]="R"),2,FALSE)</f>
        <v>Lösningsarkitekt</v>
      </c>
      <c r="F80" s="1" t="str" cm="1">
        <f t="array" ref="F80">VLOOKUP(Artifacts[[#This Row],[SOP]],_xlfn._xlws.FILTER(Roles[],Roles[Type of RACI]="A"),2,FALSE)</f>
        <v>Enterprise Arkitekt</v>
      </c>
      <c r="G80" s="1" t="str" cm="1">
        <f t="array" ref="G80">VLOOKUP(Artifacts[[#This Row],[SOP]],_xlfn._xlws.FILTER(Roles[],Roles[Type of RACI]="C"),2,FALSE)</f>
        <v>DevOps</v>
      </c>
      <c r="H80" s="1" t="str" cm="1">
        <f t="array" ref="H80">VLOOKUP(Artifacts[[#This Row],[SOP]],_xlfn._xlws.FILTER(Roles[],Roles[Type of RACI]="I"),2,FALSE)</f>
        <v>Produktägare</v>
      </c>
      <c r="I80" s="1" t="str">
        <f>VLOOKUP(Artifacts[[#This Row],[SOP]],SOP[#All],3,FALSE)</f>
        <v>Målarkitektur</v>
      </c>
      <c r="J80" s="1" t="str">
        <f>VLOOKUP(Artifacts[[#This Row],[SOP]],SOP[#All],2,FALSE)</f>
        <v>Definiera NFR</v>
      </c>
    </row>
    <row r="81" spans="1:10" hidden="1" x14ac:dyDescent="0.2">
      <c r="A81" s="1" t="s">
        <v>46</v>
      </c>
      <c r="B81" s="1" t="s">
        <v>58</v>
      </c>
      <c r="C81" s="1" t="s">
        <v>9</v>
      </c>
      <c r="D81" s="1">
        <f>COUNTIFS(Artifacts[Artifact],Artifacts[[#This Row],[Artifact]],Artifacts[Input or output],"output")</f>
        <v>1</v>
      </c>
      <c r="E81" s="1" t="str" cm="1">
        <f t="array" ref="E81">VLOOKUP(Artifacts[[#This Row],[SOP]],_xlfn._xlws.FILTER(Roles[],Roles[Type of RACI]="R"),2,FALSE)</f>
        <v>Lösningsarkitekt</v>
      </c>
      <c r="F81" s="1" t="str" cm="1">
        <f t="array" ref="F81">VLOOKUP(Artifacts[[#This Row],[SOP]],_xlfn._xlws.FILTER(Roles[],Roles[Type of RACI]="A"),2,FALSE)</f>
        <v>Enterprise Arkitekt</v>
      </c>
      <c r="G81" s="1" t="str" cm="1">
        <f t="array" ref="G81">VLOOKUP(Artifacts[[#This Row],[SOP]],_xlfn._xlws.FILTER(Roles[],Roles[Type of RACI]="C"),2,FALSE)</f>
        <v>DevOps</v>
      </c>
      <c r="H81" s="1" t="str" cm="1">
        <f t="array" ref="H81">VLOOKUP(Artifacts[[#This Row],[SOP]],_xlfn._xlws.FILTER(Roles[],Roles[Type of RACI]="I"),2,FALSE)</f>
        <v>Produktägare</v>
      </c>
      <c r="I81" s="1" t="str">
        <f>VLOOKUP(Artifacts[[#This Row],[SOP]],SOP[#All],3,FALSE)</f>
        <v>Målarkitektur</v>
      </c>
      <c r="J81" s="1" t="str">
        <f>VLOOKUP(Artifacts[[#This Row],[SOP]],SOP[#All],2,FALSE)</f>
        <v>Definiera NFR</v>
      </c>
    </row>
    <row r="82" spans="1:10" hidden="1" x14ac:dyDescent="0.2">
      <c r="A82" s="1" t="s">
        <v>55</v>
      </c>
      <c r="B82" s="1" t="s">
        <v>58</v>
      </c>
      <c r="C82" s="1" t="s">
        <v>9</v>
      </c>
      <c r="D82" s="1">
        <f>COUNTIFS(Artifacts[Artifact],Artifacts[[#This Row],[Artifact]],Artifacts[Input or output],"output")</f>
        <v>1</v>
      </c>
      <c r="E82" s="1" t="str" cm="1">
        <f t="array" ref="E82">VLOOKUP(Artifacts[[#This Row],[SOP]],_xlfn._xlws.FILTER(Roles[],Roles[Type of RACI]="R"),2,FALSE)</f>
        <v>Lösningsarkitekt</v>
      </c>
      <c r="F82" s="1" t="str" cm="1">
        <f t="array" ref="F82">VLOOKUP(Artifacts[[#This Row],[SOP]],_xlfn._xlws.FILTER(Roles[],Roles[Type of RACI]="A"),2,FALSE)</f>
        <v>Enterprise Arkitekt</v>
      </c>
      <c r="G82" s="1" t="str" cm="1">
        <f t="array" ref="G82">VLOOKUP(Artifacts[[#This Row],[SOP]],_xlfn._xlws.FILTER(Roles[],Roles[Type of RACI]="C"),2,FALSE)</f>
        <v>DevOps</v>
      </c>
      <c r="H82" s="1" t="str" cm="1">
        <f t="array" ref="H82">VLOOKUP(Artifacts[[#This Row],[SOP]],_xlfn._xlws.FILTER(Roles[],Roles[Type of RACI]="I"),2,FALSE)</f>
        <v>Produktägare</v>
      </c>
      <c r="I82" s="1" t="str">
        <f>VLOOKUP(Artifacts[[#This Row],[SOP]],SOP[#All],3,FALSE)</f>
        <v>Målarkitektur</v>
      </c>
      <c r="J82" s="1" t="str">
        <f>VLOOKUP(Artifacts[[#This Row],[SOP]],SOP[#All],2,FALSE)</f>
        <v>Definiera NFR</v>
      </c>
    </row>
    <row r="83" spans="1:10" x14ac:dyDescent="0.2">
      <c r="A83" s="1" t="s">
        <v>59</v>
      </c>
      <c r="B83" s="1" t="s">
        <v>58</v>
      </c>
      <c r="C83" s="1" t="s">
        <v>11</v>
      </c>
      <c r="D83" s="1">
        <f>COUNTIFS(Artifacts[Artifact],Artifacts[[#This Row],[Artifact]],Artifacts[Input or output],"output")</f>
        <v>1</v>
      </c>
      <c r="E83" s="1" t="str" cm="1">
        <f t="array" ref="E83">VLOOKUP(Artifacts[[#This Row],[SOP]],_xlfn._xlws.FILTER(Roles[],Roles[Type of RACI]="R"),2,FALSE)</f>
        <v>Lösningsarkitekt</v>
      </c>
      <c r="F83" s="1" t="str" cm="1">
        <f t="array" ref="F83">VLOOKUP(Artifacts[[#This Row],[SOP]],_xlfn._xlws.FILTER(Roles[],Roles[Type of RACI]="A"),2,FALSE)</f>
        <v>Enterprise Arkitekt</v>
      </c>
      <c r="G83" s="1" t="str" cm="1">
        <f t="array" ref="G83">VLOOKUP(Artifacts[[#This Row],[SOP]],_xlfn._xlws.FILTER(Roles[],Roles[Type of RACI]="C"),2,FALSE)</f>
        <v>DevOps</v>
      </c>
      <c r="H83" s="1" t="str" cm="1">
        <f t="array" ref="H83">VLOOKUP(Artifacts[[#This Row],[SOP]],_xlfn._xlws.FILTER(Roles[],Roles[Type of RACI]="I"),2,FALSE)</f>
        <v>Produktägare</v>
      </c>
      <c r="I83" s="1" t="str">
        <f>VLOOKUP(Artifacts[[#This Row],[SOP]],SOP[#All],3,FALSE)</f>
        <v>Målarkitektur</v>
      </c>
      <c r="J83" s="1" t="str">
        <f>VLOOKUP(Artifacts[[#This Row],[SOP]],SOP[#All],2,FALSE)</f>
        <v>Definiera NFR</v>
      </c>
    </row>
    <row r="84" spans="1:10" hidden="1" x14ac:dyDescent="0.2">
      <c r="A84" s="1" t="s">
        <v>41</v>
      </c>
      <c r="B84" s="1" t="s">
        <v>60</v>
      </c>
      <c r="C84" s="1" t="s">
        <v>9</v>
      </c>
      <c r="D84" s="1">
        <f>COUNTIFS(Artifacts[Artifact],Artifacts[[#This Row],[Artifact]],Artifacts[Input or output],"output")</f>
        <v>2</v>
      </c>
      <c r="E84" s="1" t="str" cm="1">
        <f t="array" ref="E84">VLOOKUP(Artifacts[[#This Row],[SOP]],_xlfn._xlws.FILTER(Roles[],Roles[Type of RACI]="R"),2,FALSE)</f>
        <v>Lösningsarkitekt</v>
      </c>
      <c r="F84" s="1" t="str" cm="1">
        <f t="array" ref="F84">VLOOKUP(Artifacts[[#This Row],[SOP]],_xlfn._xlws.FILTER(Roles[],Roles[Type of RACI]="A"),2,FALSE)</f>
        <v>Enterprise Arkitekt</v>
      </c>
      <c r="G84" s="1" t="str" cm="1">
        <f t="array" ref="G84">VLOOKUP(Artifacts[[#This Row],[SOP]],_xlfn._xlws.FILTER(Roles[],Roles[Type of RACI]="C"),2,FALSE)</f>
        <v>DevOps</v>
      </c>
      <c r="H84" s="1" t="str" cm="1">
        <f t="array" ref="H84">VLOOKUP(Artifacts[[#This Row],[SOP]],_xlfn._xlws.FILTER(Roles[],Roles[Type of RACI]="I"),2,FALSE)</f>
        <v>Produktägare</v>
      </c>
      <c r="I84" s="1" t="str">
        <f>VLOOKUP(Artifacts[[#This Row],[SOP]],SOP[#All],3,FALSE)</f>
        <v>Målarkitektur</v>
      </c>
      <c r="J84" s="1" t="str">
        <f>VLOOKUP(Artifacts[[#This Row],[SOP]],SOP[#All],2,FALSE)</f>
        <v>Definiera teknisk plattform</v>
      </c>
    </row>
    <row r="85" spans="1:10" hidden="1" x14ac:dyDescent="0.2">
      <c r="A85" s="1" t="s">
        <v>59</v>
      </c>
      <c r="B85" s="1" t="s">
        <v>60</v>
      </c>
      <c r="C85" s="1" t="s">
        <v>9</v>
      </c>
      <c r="D85" s="1">
        <f>COUNTIFS(Artifacts[Artifact],Artifacts[[#This Row],[Artifact]],Artifacts[Input or output],"output")</f>
        <v>1</v>
      </c>
      <c r="E85" s="1" t="str" cm="1">
        <f t="array" ref="E85">VLOOKUP(Artifacts[[#This Row],[SOP]],_xlfn._xlws.FILTER(Roles[],Roles[Type of RACI]="R"),2,FALSE)</f>
        <v>Lösningsarkitekt</v>
      </c>
      <c r="F85" s="1" t="str" cm="1">
        <f t="array" ref="F85">VLOOKUP(Artifacts[[#This Row],[SOP]],_xlfn._xlws.FILTER(Roles[],Roles[Type of RACI]="A"),2,FALSE)</f>
        <v>Enterprise Arkitekt</v>
      </c>
      <c r="G85" s="1" t="str" cm="1">
        <f t="array" ref="G85">VLOOKUP(Artifacts[[#This Row],[SOP]],_xlfn._xlws.FILTER(Roles[],Roles[Type of RACI]="C"),2,FALSE)</f>
        <v>DevOps</v>
      </c>
      <c r="H85" s="1" t="str" cm="1">
        <f t="array" ref="H85">VLOOKUP(Artifacts[[#This Row],[SOP]],_xlfn._xlws.FILTER(Roles[],Roles[Type of RACI]="I"),2,FALSE)</f>
        <v>Produktägare</v>
      </c>
      <c r="I85" s="1" t="str">
        <f>VLOOKUP(Artifacts[[#This Row],[SOP]],SOP[#All],3,FALSE)</f>
        <v>Målarkitektur</v>
      </c>
      <c r="J85" s="1" t="str">
        <f>VLOOKUP(Artifacts[[#This Row],[SOP]],SOP[#All],2,FALSE)</f>
        <v>Definiera teknisk plattform</v>
      </c>
    </row>
    <row r="86" spans="1:10" hidden="1" x14ac:dyDescent="0.2">
      <c r="A86" s="1" t="s">
        <v>48</v>
      </c>
      <c r="B86" s="1" t="s">
        <v>60</v>
      </c>
      <c r="C86" s="1" t="s">
        <v>9</v>
      </c>
      <c r="D86" s="1">
        <f>COUNTIFS(Artifacts[Artifact],Artifacts[[#This Row],[Artifact]],Artifacts[Input or output],"output")</f>
        <v>1</v>
      </c>
      <c r="E86" s="1" t="str" cm="1">
        <f t="array" ref="E86">VLOOKUP(Artifacts[[#This Row],[SOP]],_xlfn._xlws.FILTER(Roles[],Roles[Type of RACI]="R"),2,FALSE)</f>
        <v>Lösningsarkitekt</v>
      </c>
      <c r="F86" s="1" t="str" cm="1">
        <f t="array" ref="F86">VLOOKUP(Artifacts[[#This Row],[SOP]],_xlfn._xlws.FILTER(Roles[],Roles[Type of RACI]="A"),2,FALSE)</f>
        <v>Enterprise Arkitekt</v>
      </c>
      <c r="G86" s="1" t="str" cm="1">
        <f t="array" ref="G86">VLOOKUP(Artifacts[[#This Row],[SOP]],_xlfn._xlws.FILTER(Roles[],Roles[Type of RACI]="C"),2,FALSE)</f>
        <v>DevOps</v>
      </c>
      <c r="H86" s="1" t="str" cm="1">
        <f t="array" ref="H86">VLOOKUP(Artifacts[[#This Row],[SOP]],_xlfn._xlws.FILTER(Roles[],Roles[Type of RACI]="I"),2,FALSE)</f>
        <v>Produktägare</v>
      </c>
      <c r="I86" s="1" t="str">
        <f>VLOOKUP(Artifacts[[#This Row],[SOP]],SOP[#All],3,FALSE)</f>
        <v>Målarkitektur</v>
      </c>
      <c r="J86" s="1" t="str">
        <f>VLOOKUP(Artifacts[[#This Row],[SOP]],SOP[#All],2,FALSE)</f>
        <v>Definiera teknisk plattform</v>
      </c>
    </row>
    <row r="87" spans="1:10" x14ac:dyDescent="0.2">
      <c r="A87" s="1" t="s">
        <v>61</v>
      </c>
      <c r="B87" s="1" t="s">
        <v>60</v>
      </c>
      <c r="C87" s="1" t="s">
        <v>11</v>
      </c>
      <c r="D87" s="1">
        <f>COUNTIFS(Artifacts[Artifact],Artifacts[[#This Row],[Artifact]],Artifacts[Input or output],"output")</f>
        <v>1</v>
      </c>
      <c r="E87" s="1" t="str" cm="1">
        <f t="array" ref="E87">VLOOKUP(Artifacts[[#This Row],[SOP]],_xlfn._xlws.FILTER(Roles[],Roles[Type of RACI]="R"),2,FALSE)</f>
        <v>Lösningsarkitekt</v>
      </c>
      <c r="F87" s="1" t="str" cm="1">
        <f t="array" ref="F87">VLOOKUP(Artifacts[[#This Row],[SOP]],_xlfn._xlws.FILTER(Roles[],Roles[Type of RACI]="A"),2,FALSE)</f>
        <v>Enterprise Arkitekt</v>
      </c>
      <c r="G87" s="1" t="str" cm="1">
        <f t="array" ref="G87">VLOOKUP(Artifacts[[#This Row],[SOP]],_xlfn._xlws.FILTER(Roles[],Roles[Type of RACI]="C"),2,FALSE)</f>
        <v>DevOps</v>
      </c>
      <c r="H87" s="1" t="str" cm="1">
        <f t="array" ref="H87">VLOOKUP(Artifacts[[#This Row],[SOP]],_xlfn._xlws.FILTER(Roles[],Roles[Type of RACI]="I"),2,FALSE)</f>
        <v>Produktägare</v>
      </c>
      <c r="I87" s="1" t="str">
        <f>VLOOKUP(Artifacts[[#This Row],[SOP]],SOP[#All],3,FALSE)</f>
        <v>Målarkitektur</v>
      </c>
      <c r="J87" s="1" t="str">
        <f>VLOOKUP(Artifacts[[#This Row],[SOP]],SOP[#All],2,FALSE)</f>
        <v>Definiera teknisk plattform</v>
      </c>
    </row>
    <row r="88" spans="1:10" x14ac:dyDescent="0.2">
      <c r="A88" s="1" t="s">
        <v>62</v>
      </c>
      <c r="B88" s="1" t="s">
        <v>60</v>
      </c>
      <c r="C88" s="1" t="s">
        <v>11</v>
      </c>
      <c r="D88" s="1">
        <f>COUNTIFS(Artifacts[Artifact],Artifacts[[#This Row],[Artifact]],Artifacts[Input or output],"output")</f>
        <v>2</v>
      </c>
      <c r="E88" s="1" t="str" cm="1">
        <f t="array" ref="E88">VLOOKUP(Artifacts[[#This Row],[SOP]],_xlfn._xlws.FILTER(Roles[],Roles[Type of RACI]="R"),2,FALSE)</f>
        <v>Lösningsarkitekt</v>
      </c>
      <c r="F88" s="1" t="str" cm="1">
        <f t="array" ref="F88">VLOOKUP(Artifacts[[#This Row],[SOP]],_xlfn._xlws.FILTER(Roles[],Roles[Type of RACI]="A"),2,FALSE)</f>
        <v>Enterprise Arkitekt</v>
      </c>
      <c r="G88" s="1" t="str" cm="1">
        <f t="array" ref="G88">VLOOKUP(Artifacts[[#This Row],[SOP]],_xlfn._xlws.FILTER(Roles[],Roles[Type of RACI]="C"),2,FALSE)</f>
        <v>DevOps</v>
      </c>
      <c r="H88" s="1" t="str" cm="1">
        <f t="array" ref="H88">VLOOKUP(Artifacts[[#This Row],[SOP]],_xlfn._xlws.FILTER(Roles[],Roles[Type of RACI]="I"),2,FALSE)</f>
        <v>Produktägare</v>
      </c>
      <c r="I88" s="1" t="str">
        <f>VLOOKUP(Artifacts[[#This Row],[SOP]],SOP[#All],3,FALSE)</f>
        <v>Målarkitektur</v>
      </c>
      <c r="J88" s="1" t="str">
        <f>VLOOKUP(Artifacts[[#This Row],[SOP]],SOP[#All],2,FALSE)</f>
        <v>Definiera teknisk plattform</v>
      </c>
    </row>
    <row r="89" spans="1:10" hidden="1" x14ac:dyDescent="0.2">
      <c r="A89" s="1" t="s">
        <v>43</v>
      </c>
      <c r="B89" s="1" t="s">
        <v>63</v>
      </c>
      <c r="C89" s="1" t="s">
        <v>9</v>
      </c>
      <c r="D89" s="1">
        <f>COUNTIFS(Artifacts[Artifact],Artifacts[[#This Row],[Artifact]],Artifacts[Input or output],"output")</f>
        <v>1</v>
      </c>
      <c r="E89" s="1" t="str" cm="1">
        <f t="array" ref="E89">VLOOKUP(Artifacts[[#This Row],[SOP]],_xlfn._xlws.FILTER(Roles[],Roles[Type of RACI]="R"),2,FALSE)</f>
        <v>Lösningsarkitekt</v>
      </c>
      <c r="F89" s="1" t="str" cm="1">
        <f t="array" ref="F89">VLOOKUP(Artifacts[[#This Row],[SOP]],_xlfn._xlws.FILTER(Roles[],Roles[Type of RACI]="A"),2,FALSE)</f>
        <v>Enterprise Arkitekt</v>
      </c>
      <c r="G89" s="1" t="str" cm="1">
        <f t="array" ref="G89">VLOOKUP(Artifacts[[#This Row],[SOP]],_xlfn._xlws.FILTER(Roles[],Roles[Type of RACI]="C"),2,FALSE)</f>
        <v>Dataarkitekt</v>
      </c>
      <c r="H89" s="1" t="str" cm="1">
        <f t="array" ref="H89">VLOOKUP(Artifacts[[#This Row],[SOP]],_xlfn._xlws.FILTER(Roles[],Roles[Type of RACI]="I"),2,FALSE)</f>
        <v>Produktägare</v>
      </c>
      <c r="I89" s="1" t="str">
        <f>VLOOKUP(Artifacts[[#This Row],[SOP]],SOP[#All],3,FALSE)</f>
        <v>Målarkitektur</v>
      </c>
      <c r="J89" s="1" t="str">
        <f>VLOOKUP(Artifacts[[#This Row],[SOP]],SOP[#All],2,FALSE)</f>
        <v>Dokumentera målarkitektur</v>
      </c>
    </row>
    <row r="90" spans="1:10" hidden="1" x14ac:dyDescent="0.2">
      <c r="A90" s="1" t="s">
        <v>23</v>
      </c>
      <c r="B90" s="1" t="s">
        <v>63</v>
      </c>
      <c r="C90" s="1" t="s">
        <v>9</v>
      </c>
      <c r="D90" s="1">
        <f>COUNTIFS(Artifacts[Artifact],Artifacts[[#This Row],[Artifact]],Artifacts[Input or output],"output")</f>
        <v>2</v>
      </c>
      <c r="E90" s="1" t="str" cm="1">
        <f t="array" ref="E90">VLOOKUP(Artifacts[[#This Row],[SOP]],_xlfn._xlws.FILTER(Roles[],Roles[Type of RACI]="R"),2,FALSE)</f>
        <v>Lösningsarkitekt</v>
      </c>
      <c r="F90" s="1" t="str" cm="1">
        <f t="array" ref="F90">VLOOKUP(Artifacts[[#This Row],[SOP]],_xlfn._xlws.FILTER(Roles[],Roles[Type of RACI]="A"),2,FALSE)</f>
        <v>Enterprise Arkitekt</v>
      </c>
      <c r="G90" s="1" t="str" cm="1">
        <f t="array" ref="G90">VLOOKUP(Artifacts[[#This Row],[SOP]],_xlfn._xlws.FILTER(Roles[],Roles[Type of RACI]="C"),2,FALSE)</f>
        <v>Dataarkitekt</v>
      </c>
      <c r="H90" s="1" t="str" cm="1">
        <f t="array" ref="H90">VLOOKUP(Artifacts[[#This Row],[SOP]],_xlfn._xlws.FILTER(Roles[],Roles[Type of RACI]="I"),2,FALSE)</f>
        <v>Produktägare</v>
      </c>
      <c r="I90" s="1" t="str">
        <f>VLOOKUP(Artifacts[[#This Row],[SOP]],SOP[#All],3,FALSE)</f>
        <v>Målarkitektur</v>
      </c>
      <c r="J90" s="1" t="str">
        <f>VLOOKUP(Artifacts[[#This Row],[SOP]],SOP[#All],2,FALSE)</f>
        <v>Dokumentera målarkitektur</v>
      </c>
    </row>
    <row r="91" spans="1:10" hidden="1" x14ac:dyDescent="0.2">
      <c r="A91" s="1" t="s">
        <v>47</v>
      </c>
      <c r="B91" s="1" t="s">
        <v>63</v>
      </c>
      <c r="C91" s="1" t="s">
        <v>9</v>
      </c>
      <c r="D91" s="1">
        <f>COUNTIFS(Artifacts[Artifact],Artifacts[[#This Row],[Artifact]],Artifacts[Input or output],"output")</f>
        <v>1</v>
      </c>
      <c r="E91" s="1" t="str" cm="1">
        <f t="array" ref="E91">VLOOKUP(Artifacts[[#This Row],[SOP]],_xlfn._xlws.FILTER(Roles[],Roles[Type of RACI]="R"),2,FALSE)</f>
        <v>Lösningsarkitekt</v>
      </c>
      <c r="F91" s="1" t="str" cm="1">
        <f t="array" ref="F91">VLOOKUP(Artifacts[[#This Row],[SOP]],_xlfn._xlws.FILTER(Roles[],Roles[Type of RACI]="A"),2,FALSE)</f>
        <v>Enterprise Arkitekt</v>
      </c>
      <c r="G91" s="1" t="str" cm="1">
        <f t="array" ref="G91">VLOOKUP(Artifacts[[#This Row],[SOP]],_xlfn._xlws.FILTER(Roles[],Roles[Type of RACI]="C"),2,FALSE)</f>
        <v>Dataarkitekt</v>
      </c>
      <c r="H91" s="1" t="str" cm="1">
        <f t="array" ref="H91">VLOOKUP(Artifacts[[#This Row],[SOP]],_xlfn._xlws.FILTER(Roles[],Roles[Type of RACI]="I"),2,FALSE)</f>
        <v>Produktägare</v>
      </c>
      <c r="I91" s="1" t="str">
        <f>VLOOKUP(Artifacts[[#This Row],[SOP]],SOP[#All],3,FALSE)</f>
        <v>Målarkitektur</v>
      </c>
      <c r="J91" s="1" t="str">
        <f>VLOOKUP(Artifacts[[#This Row],[SOP]],SOP[#All],2,FALSE)</f>
        <v>Dokumentera målarkitektur</v>
      </c>
    </row>
    <row r="92" spans="1:10" hidden="1" x14ac:dyDescent="0.2">
      <c r="A92" s="1" t="s">
        <v>50</v>
      </c>
      <c r="B92" s="1" t="s">
        <v>63</v>
      </c>
      <c r="C92" s="1" t="s">
        <v>9</v>
      </c>
      <c r="D92" s="1">
        <f>COUNTIFS(Artifacts[Artifact],Artifacts[[#This Row],[Artifact]],Artifacts[Input or output],"output")</f>
        <v>1</v>
      </c>
      <c r="E92" s="1" t="str" cm="1">
        <f t="array" ref="E92">VLOOKUP(Artifacts[[#This Row],[SOP]],_xlfn._xlws.FILTER(Roles[],Roles[Type of RACI]="R"),2,FALSE)</f>
        <v>Lösningsarkitekt</v>
      </c>
      <c r="F92" s="1" t="str" cm="1">
        <f t="array" ref="F92">VLOOKUP(Artifacts[[#This Row],[SOP]],_xlfn._xlws.FILTER(Roles[],Roles[Type of RACI]="A"),2,FALSE)</f>
        <v>Enterprise Arkitekt</v>
      </c>
      <c r="G92" s="1" t="str" cm="1">
        <f t="array" ref="G92">VLOOKUP(Artifacts[[#This Row],[SOP]],_xlfn._xlws.FILTER(Roles[],Roles[Type of RACI]="C"),2,FALSE)</f>
        <v>Dataarkitekt</v>
      </c>
      <c r="H92" s="1" t="str" cm="1">
        <f t="array" ref="H92">VLOOKUP(Artifacts[[#This Row],[SOP]],_xlfn._xlws.FILTER(Roles[],Roles[Type of RACI]="I"),2,FALSE)</f>
        <v>Produktägare</v>
      </c>
      <c r="I92" s="1" t="str">
        <f>VLOOKUP(Artifacts[[#This Row],[SOP]],SOP[#All],3,FALSE)</f>
        <v>Målarkitektur</v>
      </c>
      <c r="J92" s="1" t="str">
        <f>VLOOKUP(Artifacts[[#This Row],[SOP]],SOP[#All],2,FALSE)</f>
        <v>Dokumentera målarkitektur</v>
      </c>
    </row>
    <row r="93" spans="1:10" hidden="1" x14ac:dyDescent="0.2">
      <c r="A93" s="1" t="s">
        <v>46</v>
      </c>
      <c r="B93" s="1" t="s">
        <v>63</v>
      </c>
      <c r="C93" s="1" t="s">
        <v>9</v>
      </c>
      <c r="D93" s="1">
        <f>COUNTIFS(Artifacts[Artifact],Artifacts[[#This Row],[Artifact]],Artifacts[Input or output],"output")</f>
        <v>1</v>
      </c>
      <c r="E93" s="1" t="str" cm="1">
        <f t="array" ref="E93">VLOOKUP(Artifacts[[#This Row],[SOP]],_xlfn._xlws.FILTER(Roles[],Roles[Type of RACI]="R"),2,FALSE)</f>
        <v>Lösningsarkitekt</v>
      </c>
      <c r="F93" s="1" t="str" cm="1">
        <f t="array" ref="F93">VLOOKUP(Artifacts[[#This Row],[SOP]],_xlfn._xlws.FILTER(Roles[],Roles[Type of RACI]="A"),2,FALSE)</f>
        <v>Enterprise Arkitekt</v>
      </c>
      <c r="G93" s="1" t="str" cm="1">
        <f t="array" ref="G93">VLOOKUP(Artifacts[[#This Row],[SOP]],_xlfn._xlws.FILTER(Roles[],Roles[Type of RACI]="C"),2,FALSE)</f>
        <v>Dataarkitekt</v>
      </c>
      <c r="H93" s="1" t="str" cm="1">
        <f t="array" ref="H93">VLOOKUP(Artifacts[[#This Row],[SOP]],_xlfn._xlws.FILTER(Roles[],Roles[Type of RACI]="I"),2,FALSE)</f>
        <v>Produktägare</v>
      </c>
      <c r="I93" s="1" t="str">
        <f>VLOOKUP(Artifacts[[#This Row],[SOP]],SOP[#All],3,FALSE)</f>
        <v>Målarkitektur</v>
      </c>
      <c r="J93" s="1" t="str">
        <f>VLOOKUP(Artifacts[[#This Row],[SOP]],SOP[#All],2,FALSE)</f>
        <v>Dokumentera målarkitektur</v>
      </c>
    </row>
    <row r="94" spans="1:10" hidden="1" x14ac:dyDescent="0.2">
      <c r="A94" s="1" t="s">
        <v>55</v>
      </c>
      <c r="B94" s="1" t="s">
        <v>63</v>
      </c>
      <c r="C94" s="1" t="s">
        <v>9</v>
      </c>
      <c r="D94" s="1">
        <f>COUNTIFS(Artifacts[Artifact],Artifacts[[#This Row],[Artifact]],Artifacts[Input or output],"output")</f>
        <v>1</v>
      </c>
      <c r="E94" s="1" t="str" cm="1">
        <f t="array" ref="E94">VLOOKUP(Artifacts[[#This Row],[SOP]],_xlfn._xlws.FILTER(Roles[],Roles[Type of RACI]="R"),2,FALSE)</f>
        <v>Lösningsarkitekt</v>
      </c>
      <c r="F94" s="1" t="str" cm="1">
        <f t="array" ref="F94">VLOOKUP(Artifacts[[#This Row],[SOP]],_xlfn._xlws.FILTER(Roles[],Roles[Type of RACI]="A"),2,FALSE)</f>
        <v>Enterprise Arkitekt</v>
      </c>
      <c r="G94" s="1" t="str" cm="1">
        <f t="array" ref="G94">VLOOKUP(Artifacts[[#This Row],[SOP]],_xlfn._xlws.FILTER(Roles[],Roles[Type of RACI]="C"),2,FALSE)</f>
        <v>Dataarkitekt</v>
      </c>
      <c r="H94" s="1" t="str" cm="1">
        <f t="array" ref="H94">VLOOKUP(Artifacts[[#This Row],[SOP]],_xlfn._xlws.FILTER(Roles[],Roles[Type of RACI]="I"),2,FALSE)</f>
        <v>Produktägare</v>
      </c>
      <c r="I94" s="1" t="str">
        <f>VLOOKUP(Artifacts[[#This Row],[SOP]],SOP[#All],3,FALSE)</f>
        <v>Målarkitektur</v>
      </c>
      <c r="J94" s="1" t="str">
        <f>VLOOKUP(Artifacts[[#This Row],[SOP]],SOP[#All],2,FALSE)</f>
        <v>Dokumentera målarkitektur</v>
      </c>
    </row>
    <row r="95" spans="1:10" hidden="1" x14ac:dyDescent="0.2">
      <c r="A95" s="1" t="s">
        <v>61</v>
      </c>
      <c r="B95" s="1" t="s">
        <v>63</v>
      </c>
      <c r="C95" s="1" t="s">
        <v>9</v>
      </c>
      <c r="D95" s="1">
        <f>COUNTIFS(Artifacts[Artifact],Artifacts[[#This Row],[Artifact]],Artifacts[Input or output],"output")</f>
        <v>1</v>
      </c>
      <c r="E95" s="1" t="str" cm="1">
        <f t="array" ref="E95">VLOOKUP(Artifacts[[#This Row],[SOP]],_xlfn._xlws.FILTER(Roles[],Roles[Type of RACI]="R"),2,FALSE)</f>
        <v>Lösningsarkitekt</v>
      </c>
      <c r="F95" s="1" t="str" cm="1">
        <f t="array" ref="F95">VLOOKUP(Artifacts[[#This Row],[SOP]],_xlfn._xlws.FILTER(Roles[],Roles[Type of RACI]="A"),2,FALSE)</f>
        <v>Enterprise Arkitekt</v>
      </c>
      <c r="G95" s="1" t="str" cm="1">
        <f t="array" ref="G95">VLOOKUP(Artifacts[[#This Row],[SOP]],_xlfn._xlws.FILTER(Roles[],Roles[Type of RACI]="C"),2,FALSE)</f>
        <v>Dataarkitekt</v>
      </c>
      <c r="H95" s="1" t="str" cm="1">
        <f t="array" ref="H95">VLOOKUP(Artifacts[[#This Row],[SOP]],_xlfn._xlws.FILTER(Roles[],Roles[Type of RACI]="I"),2,FALSE)</f>
        <v>Produktägare</v>
      </c>
      <c r="I95" s="1" t="str">
        <f>VLOOKUP(Artifacts[[#This Row],[SOP]],SOP[#All],3,FALSE)</f>
        <v>Målarkitektur</v>
      </c>
      <c r="J95" s="1" t="str">
        <f>VLOOKUP(Artifacts[[#This Row],[SOP]],SOP[#All],2,FALSE)</f>
        <v>Dokumentera målarkitektur</v>
      </c>
    </row>
    <row r="96" spans="1:10" x14ac:dyDescent="0.2">
      <c r="A96" s="1" t="s">
        <v>62</v>
      </c>
      <c r="B96" s="1" t="s">
        <v>63</v>
      </c>
      <c r="C96" s="1" t="s">
        <v>11</v>
      </c>
      <c r="D96" s="1">
        <f>COUNTIFS(Artifacts[Artifact],Artifacts[[#This Row],[Artifact]],Artifacts[Input or output],"output")</f>
        <v>2</v>
      </c>
      <c r="E96" s="1" t="str" cm="1">
        <f t="array" ref="E96">VLOOKUP(Artifacts[[#This Row],[SOP]],_xlfn._xlws.FILTER(Roles[],Roles[Type of RACI]="R"),2,FALSE)</f>
        <v>Lösningsarkitekt</v>
      </c>
      <c r="F96" s="1" t="str" cm="1">
        <f t="array" ref="F96">VLOOKUP(Artifacts[[#This Row],[SOP]],_xlfn._xlws.FILTER(Roles[],Roles[Type of RACI]="A"),2,FALSE)</f>
        <v>Enterprise Arkitekt</v>
      </c>
      <c r="G96" s="1" t="str" cm="1">
        <f t="array" ref="G96">VLOOKUP(Artifacts[[#This Row],[SOP]],_xlfn._xlws.FILTER(Roles[],Roles[Type of RACI]="C"),2,FALSE)</f>
        <v>Dataarkitekt</v>
      </c>
      <c r="H96" s="1" t="str" cm="1">
        <f t="array" ref="H96">VLOOKUP(Artifacts[[#This Row],[SOP]],_xlfn._xlws.FILTER(Roles[],Roles[Type of RACI]="I"),2,FALSE)</f>
        <v>Produktägare</v>
      </c>
      <c r="I96" s="1" t="str">
        <f>VLOOKUP(Artifacts[[#This Row],[SOP]],SOP[#All],3,FALSE)</f>
        <v>Målarkitektur</v>
      </c>
      <c r="J96" s="1" t="str">
        <f>VLOOKUP(Artifacts[[#This Row],[SOP]],SOP[#All],2,FALSE)</f>
        <v>Dokumentera målarkitektur</v>
      </c>
    </row>
    <row r="97" spans="1:10" hidden="1" x14ac:dyDescent="0.2">
      <c r="A97" s="1" t="s">
        <v>29</v>
      </c>
      <c r="B97" s="1" t="s">
        <v>64</v>
      </c>
      <c r="C97" s="1" t="s">
        <v>9</v>
      </c>
      <c r="D97" s="1">
        <f>COUNTIFS(Artifacts[Artifact],Artifacts[[#This Row],[Artifact]],Artifacts[Input or output],"output")</f>
        <v>1</v>
      </c>
      <c r="E97" s="1" t="str" cm="1">
        <f t="array" ref="E97">VLOOKUP(Artifacts[[#This Row],[SOP]],_xlfn._xlws.FILTER(Roles[],Roles[Type of RACI]="R"),2,FALSE)</f>
        <v>Business Analyst</v>
      </c>
      <c r="F97" s="1" t="str" cm="1">
        <f t="array" ref="F97">VLOOKUP(Artifacts[[#This Row],[SOP]],_xlfn._xlws.FILTER(Roles[],Roles[Type of RACI]="A"),2,FALSE)</f>
        <v>Produktägare</v>
      </c>
      <c r="G97" s="1" t="str" cm="1">
        <f t="array" ref="G97">VLOOKUP(Artifacts[[#This Row],[SOP]],_xlfn._xlws.FILTER(Roles[],Roles[Type of RACI]="C"),2,FALSE)</f>
        <v>Lösningsarkitekt</v>
      </c>
      <c r="H97" s="1" t="str" cm="1">
        <f t="array" ref="H97">VLOOKUP(Artifacts[[#This Row],[SOP]],_xlfn._xlws.FILTER(Roles[],Roles[Type of RACI]="I"),2,FALSE)</f>
        <v>Utvecklare</v>
      </c>
      <c r="I97" s="1" t="str">
        <f>VLOOKUP(Artifacts[[#This Row],[SOP]],SOP[#All],3,FALSE)</f>
        <v>Roadmap</v>
      </c>
      <c r="J97" s="1" t="str">
        <f>VLOOKUP(Artifacts[[#This Row],[SOP]],SOP[#All],2,FALSE)</f>
        <v>Skapa MVP</v>
      </c>
    </row>
    <row r="98" spans="1:10" hidden="1" x14ac:dyDescent="0.2">
      <c r="A98" s="1" t="s">
        <v>16</v>
      </c>
      <c r="B98" s="1" t="s">
        <v>64</v>
      </c>
      <c r="C98" s="1" t="s">
        <v>9</v>
      </c>
      <c r="D98" s="1">
        <f>COUNTIFS(Artifacts[Artifact],Artifacts[[#This Row],[Artifact]],Artifacts[Input or output],"output")</f>
        <v>2</v>
      </c>
      <c r="E98" s="1" t="str" cm="1">
        <f t="array" ref="E98">VLOOKUP(Artifacts[[#This Row],[SOP]],_xlfn._xlws.FILTER(Roles[],Roles[Type of RACI]="R"),2,FALSE)</f>
        <v>Business Analyst</v>
      </c>
      <c r="F98" s="1" t="str" cm="1">
        <f t="array" ref="F98">VLOOKUP(Artifacts[[#This Row],[SOP]],_xlfn._xlws.FILTER(Roles[],Roles[Type of RACI]="A"),2,FALSE)</f>
        <v>Produktägare</v>
      </c>
      <c r="G98" s="1" t="str" cm="1">
        <f t="array" ref="G98">VLOOKUP(Artifacts[[#This Row],[SOP]],_xlfn._xlws.FILTER(Roles[],Roles[Type of RACI]="C"),2,FALSE)</f>
        <v>Lösningsarkitekt</v>
      </c>
      <c r="H98" s="1" t="str" cm="1">
        <f t="array" ref="H98">VLOOKUP(Artifacts[[#This Row],[SOP]],_xlfn._xlws.FILTER(Roles[],Roles[Type of RACI]="I"),2,FALSE)</f>
        <v>Utvecklare</v>
      </c>
      <c r="I98" s="1" t="str">
        <f>VLOOKUP(Artifacts[[#This Row],[SOP]],SOP[#All],3,FALSE)</f>
        <v>Roadmap</v>
      </c>
      <c r="J98" s="1" t="str">
        <f>VLOOKUP(Artifacts[[#This Row],[SOP]],SOP[#All],2,FALSE)</f>
        <v>Skapa MVP</v>
      </c>
    </row>
    <row r="99" spans="1:10" hidden="1" x14ac:dyDescent="0.2">
      <c r="A99" s="1" t="s">
        <v>10</v>
      </c>
      <c r="B99" s="1" t="s">
        <v>64</v>
      </c>
      <c r="C99" s="1" t="s">
        <v>9</v>
      </c>
      <c r="D99" s="1">
        <f>COUNTIFS(Artifacts[Artifact],Artifacts[[#This Row],[Artifact]],Artifacts[Input or output],"output")</f>
        <v>2</v>
      </c>
      <c r="E99" s="1" t="str" cm="1">
        <f t="array" ref="E99">VLOOKUP(Artifacts[[#This Row],[SOP]],_xlfn._xlws.FILTER(Roles[],Roles[Type of RACI]="R"),2,FALSE)</f>
        <v>Business Analyst</v>
      </c>
      <c r="F99" s="1" t="str" cm="1">
        <f t="array" ref="F99">VLOOKUP(Artifacts[[#This Row],[SOP]],_xlfn._xlws.FILTER(Roles[],Roles[Type of RACI]="A"),2,FALSE)</f>
        <v>Produktägare</v>
      </c>
      <c r="G99" s="1" t="str" cm="1">
        <f t="array" ref="G99">VLOOKUP(Artifacts[[#This Row],[SOP]],_xlfn._xlws.FILTER(Roles[],Roles[Type of RACI]="C"),2,FALSE)</f>
        <v>Lösningsarkitekt</v>
      </c>
      <c r="H99" s="1" t="str" cm="1">
        <f t="array" ref="H99">VLOOKUP(Artifacts[[#This Row],[SOP]],_xlfn._xlws.FILTER(Roles[],Roles[Type of RACI]="I"),2,FALSE)</f>
        <v>Utvecklare</v>
      </c>
      <c r="I99" s="1" t="str">
        <f>VLOOKUP(Artifacts[[#This Row],[SOP]],SOP[#All],3,FALSE)</f>
        <v>Roadmap</v>
      </c>
      <c r="J99" s="1" t="str">
        <f>VLOOKUP(Artifacts[[#This Row],[SOP]],SOP[#All],2,FALSE)</f>
        <v>Skapa MVP</v>
      </c>
    </row>
    <row r="100" spans="1:10" x14ac:dyDescent="0.2">
      <c r="A100" s="1" t="s">
        <v>65</v>
      </c>
      <c r="B100" s="1" t="s">
        <v>64</v>
      </c>
      <c r="C100" s="1" t="s">
        <v>11</v>
      </c>
      <c r="D100" s="1">
        <f>COUNTIFS(Artifacts[Artifact],Artifacts[[#This Row],[Artifact]],Artifacts[Input or output],"output")</f>
        <v>1</v>
      </c>
      <c r="E100" s="1" t="str" cm="1">
        <f t="array" ref="E100">VLOOKUP(Artifacts[[#This Row],[SOP]],_xlfn._xlws.FILTER(Roles[],Roles[Type of RACI]="R"),2,FALSE)</f>
        <v>Business Analyst</v>
      </c>
      <c r="F100" s="1" t="str" cm="1">
        <f t="array" ref="F100">VLOOKUP(Artifacts[[#This Row],[SOP]],_xlfn._xlws.FILTER(Roles[],Roles[Type of RACI]="A"),2,FALSE)</f>
        <v>Produktägare</v>
      </c>
      <c r="G100" s="1" t="str" cm="1">
        <f t="array" ref="G100">VLOOKUP(Artifacts[[#This Row],[SOP]],_xlfn._xlws.FILTER(Roles[],Roles[Type of RACI]="C"),2,FALSE)</f>
        <v>Lösningsarkitekt</v>
      </c>
      <c r="H100" s="1" t="str" cm="1">
        <f t="array" ref="H100">VLOOKUP(Artifacts[[#This Row],[SOP]],_xlfn._xlws.FILTER(Roles[],Roles[Type of RACI]="I"),2,FALSE)</f>
        <v>Utvecklare</v>
      </c>
      <c r="I100" s="1" t="str">
        <f>VLOOKUP(Artifacts[[#This Row],[SOP]],SOP[#All],3,FALSE)</f>
        <v>Roadmap</v>
      </c>
      <c r="J100" s="1" t="str">
        <f>VLOOKUP(Artifacts[[#This Row],[SOP]],SOP[#All],2,FALSE)</f>
        <v>Skapa MVP</v>
      </c>
    </row>
    <row r="101" spans="1:10" hidden="1" x14ac:dyDescent="0.2">
      <c r="A101" s="1" t="s">
        <v>29</v>
      </c>
      <c r="B101" s="1" t="s">
        <v>66</v>
      </c>
      <c r="C101" s="1" t="s">
        <v>9</v>
      </c>
      <c r="D101" s="1">
        <f>COUNTIFS(Artifacts[Artifact],Artifacts[[#This Row],[Artifact]],Artifacts[Input or output],"output")</f>
        <v>1</v>
      </c>
      <c r="E101" s="1" t="str" cm="1">
        <f t="array" ref="E101">VLOOKUP(Artifacts[[#This Row],[SOP]],_xlfn._xlws.FILTER(Roles[],Roles[Type of RACI]="R"),2,FALSE)</f>
        <v>Business Analyst</v>
      </c>
      <c r="F101" s="1" t="str" cm="1">
        <f t="array" ref="F101">VLOOKUP(Artifacts[[#This Row],[SOP]],_xlfn._xlws.FILTER(Roles[],Roles[Type of RACI]="A"),2,FALSE)</f>
        <v>Produktägare</v>
      </c>
      <c r="G101" s="1" t="str" cm="1">
        <f t="array" ref="G101">VLOOKUP(Artifacts[[#This Row],[SOP]],_xlfn._xlws.FILTER(Roles[],Roles[Type of RACI]="C"),2,FALSE)</f>
        <v>Lösningsarkitekt</v>
      </c>
      <c r="H101" s="1" t="str" cm="1">
        <f t="array" ref="H101">VLOOKUP(Artifacts[[#This Row],[SOP]],_xlfn._xlws.FILTER(Roles[],Roles[Type of RACI]="I"),2,FALSE)</f>
        <v>Utvecklare</v>
      </c>
      <c r="I101" s="1" t="str">
        <f>VLOOKUP(Artifacts[[#This Row],[SOP]],SOP[#All],3,FALSE)</f>
        <v>Roadmap</v>
      </c>
      <c r="J101" s="1" t="str">
        <f>VLOOKUP(Artifacts[[#This Row],[SOP]],SOP[#All],2,FALSE)</f>
        <v>Strukturera story map till leveranspaket</v>
      </c>
    </row>
    <row r="102" spans="1:10" hidden="1" x14ac:dyDescent="0.2">
      <c r="A102" s="1" t="s">
        <v>65</v>
      </c>
      <c r="B102" s="1" t="s">
        <v>66</v>
      </c>
      <c r="C102" s="1" t="s">
        <v>9</v>
      </c>
      <c r="D102" s="1">
        <f>COUNTIFS(Artifacts[Artifact],Artifacts[[#This Row],[Artifact]],Artifacts[Input or output],"output")</f>
        <v>1</v>
      </c>
      <c r="E102" s="1" t="str" cm="1">
        <f t="array" ref="E102">VLOOKUP(Artifacts[[#This Row],[SOP]],_xlfn._xlws.FILTER(Roles[],Roles[Type of RACI]="R"),2,FALSE)</f>
        <v>Business Analyst</v>
      </c>
      <c r="F102" s="1" t="str" cm="1">
        <f t="array" ref="F102">VLOOKUP(Artifacts[[#This Row],[SOP]],_xlfn._xlws.FILTER(Roles[],Roles[Type of RACI]="A"),2,FALSE)</f>
        <v>Produktägare</v>
      </c>
      <c r="G102" s="1" t="str" cm="1">
        <f t="array" ref="G102">VLOOKUP(Artifacts[[#This Row],[SOP]],_xlfn._xlws.FILTER(Roles[],Roles[Type of RACI]="C"),2,FALSE)</f>
        <v>Lösningsarkitekt</v>
      </c>
      <c r="H102" s="1" t="str" cm="1">
        <f t="array" ref="H102">VLOOKUP(Artifacts[[#This Row],[SOP]],_xlfn._xlws.FILTER(Roles[],Roles[Type of RACI]="I"),2,FALSE)</f>
        <v>Utvecklare</v>
      </c>
      <c r="I102" s="1" t="str">
        <f>VLOOKUP(Artifacts[[#This Row],[SOP]],SOP[#All],3,FALSE)</f>
        <v>Roadmap</v>
      </c>
      <c r="J102" s="1" t="str">
        <f>VLOOKUP(Artifacts[[#This Row],[SOP]],SOP[#All],2,FALSE)</f>
        <v>Strukturera story map till leveranspaket</v>
      </c>
    </row>
    <row r="103" spans="1:10" hidden="1" x14ac:dyDescent="0.2">
      <c r="A103" s="1" t="s">
        <v>16</v>
      </c>
      <c r="B103" s="1" t="s">
        <v>66</v>
      </c>
      <c r="C103" s="1" t="s">
        <v>9</v>
      </c>
      <c r="D103" s="1">
        <f>COUNTIFS(Artifacts[Artifact],Artifacts[[#This Row],[Artifact]],Artifacts[Input or output],"output")</f>
        <v>2</v>
      </c>
      <c r="E103" s="1" t="str" cm="1">
        <f t="array" ref="E103">VLOOKUP(Artifacts[[#This Row],[SOP]],_xlfn._xlws.FILTER(Roles[],Roles[Type of RACI]="R"),2,FALSE)</f>
        <v>Business Analyst</v>
      </c>
      <c r="F103" s="1" t="str" cm="1">
        <f t="array" ref="F103">VLOOKUP(Artifacts[[#This Row],[SOP]],_xlfn._xlws.FILTER(Roles[],Roles[Type of RACI]="A"),2,FALSE)</f>
        <v>Produktägare</v>
      </c>
      <c r="G103" s="1" t="str" cm="1">
        <f t="array" ref="G103">VLOOKUP(Artifacts[[#This Row],[SOP]],_xlfn._xlws.FILTER(Roles[],Roles[Type of RACI]="C"),2,FALSE)</f>
        <v>Lösningsarkitekt</v>
      </c>
      <c r="H103" s="1" t="str" cm="1">
        <f t="array" ref="H103">VLOOKUP(Artifacts[[#This Row],[SOP]],_xlfn._xlws.FILTER(Roles[],Roles[Type of RACI]="I"),2,FALSE)</f>
        <v>Utvecklare</v>
      </c>
      <c r="I103" s="1" t="str">
        <f>VLOOKUP(Artifacts[[#This Row],[SOP]],SOP[#All],3,FALSE)</f>
        <v>Roadmap</v>
      </c>
      <c r="J103" s="1" t="str">
        <f>VLOOKUP(Artifacts[[#This Row],[SOP]],SOP[#All],2,FALSE)</f>
        <v>Strukturera story map till leveranspaket</v>
      </c>
    </row>
    <row r="104" spans="1:10" x14ac:dyDescent="0.2">
      <c r="A104" s="1" t="s">
        <v>67</v>
      </c>
      <c r="B104" s="1" t="s">
        <v>66</v>
      </c>
      <c r="C104" s="1" t="s">
        <v>11</v>
      </c>
      <c r="D104" s="1">
        <f>COUNTIFS(Artifacts[Artifact],Artifacts[[#This Row],[Artifact]],Artifacts[Input or output],"output")</f>
        <v>2</v>
      </c>
      <c r="E104" s="1" t="str" cm="1">
        <f t="array" ref="E104">VLOOKUP(Artifacts[[#This Row],[SOP]],_xlfn._xlws.FILTER(Roles[],Roles[Type of RACI]="R"),2,FALSE)</f>
        <v>Business Analyst</v>
      </c>
      <c r="F104" s="1" t="str" cm="1">
        <f t="array" ref="F104">VLOOKUP(Artifacts[[#This Row],[SOP]],_xlfn._xlws.FILTER(Roles[],Roles[Type of RACI]="A"),2,FALSE)</f>
        <v>Produktägare</v>
      </c>
      <c r="G104" s="1" t="str" cm="1">
        <f t="array" ref="G104">VLOOKUP(Artifacts[[#This Row],[SOP]],_xlfn._xlws.FILTER(Roles[],Roles[Type of RACI]="C"),2,FALSE)</f>
        <v>Lösningsarkitekt</v>
      </c>
      <c r="H104" s="1" t="str" cm="1">
        <f t="array" ref="H104">VLOOKUP(Artifacts[[#This Row],[SOP]],_xlfn._xlws.FILTER(Roles[],Roles[Type of RACI]="I"),2,FALSE)</f>
        <v>Utvecklare</v>
      </c>
      <c r="I104" s="1" t="str">
        <f>VLOOKUP(Artifacts[[#This Row],[SOP]],SOP[#All],3,FALSE)</f>
        <v>Roadmap</v>
      </c>
      <c r="J104" s="1" t="str">
        <f>VLOOKUP(Artifacts[[#This Row],[SOP]],SOP[#All],2,FALSE)</f>
        <v>Strukturera story map till leveranspaket</v>
      </c>
    </row>
    <row r="105" spans="1:10" hidden="1" x14ac:dyDescent="0.2">
      <c r="A105" s="1" t="s">
        <v>67</v>
      </c>
      <c r="B105" s="1" t="s">
        <v>68</v>
      </c>
      <c r="C105" s="1" t="s">
        <v>9</v>
      </c>
      <c r="D105" s="1">
        <f>COUNTIFS(Artifacts[Artifact],Artifacts[[#This Row],[Artifact]],Artifacts[Input or output],"output")</f>
        <v>2</v>
      </c>
      <c r="E105" s="1" t="str" cm="1">
        <f t="array" ref="E105">VLOOKUP(Artifacts[[#This Row],[SOP]],_xlfn._xlws.FILTER(Roles[],Roles[Type of RACI]="R"),2,FALSE)</f>
        <v>Business Analyst</v>
      </c>
      <c r="F105" s="1" t="str" cm="1">
        <f t="array" ref="F105">VLOOKUP(Artifacts[[#This Row],[SOP]],_xlfn._xlws.FILTER(Roles[],Roles[Type of RACI]="A"),2,FALSE)</f>
        <v>Produktägare</v>
      </c>
      <c r="G105" s="1" t="str" cm="1">
        <f t="array" ref="G105">VLOOKUP(Artifacts[[#This Row],[SOP]],_xlfn._xlws.FILTER(Roles[],Roles[Type of RACI]="C"),2,FALSE)</f>
        <v>Lösningsarkitekt</v>
      </c>
      <c r="H105" s="1" t="str" cm="1">
        <f t="array" ref="H105">VLOOKUP(Artifacts[[#This Row],[SOP]],_xlfn._xlws.FILTER(Roles[],Roles[Type of RACI]="I"),2,FALSE)</f>
        <v>Utvecklare</v>
      </c>
      <c r="I105" s="1" t="str">
        <f>VLOOKUP(Artifacts[[#This Row],[SOP]],SOP[#All],3,FALSE)</f>
        <v>Roadmap</v>
      </c>
      <c r="J105" s="1" t="str">
        <f>VLOOKUP(Artifacts[[#This Row],[SOP]],SOP[#All],2,FALSE)</f>
        <v>Skapa releaseplan</v>
      </c>
    </row>
    <row r="106" spans="1:10" hidden="1" x14ac:dyDescent="0.2">
      <c r="A106" s="1" t="s">
        <v>65</v>
      </c>
      <c r="B106" s="1" t="s">
        <v>68</v>
      </c>
      <c r="C106" s="1" t="s">
        <v>9</v>
      </c>
      <c r="D106" s="1">
        <f>COUNTIFS(Artifacts[Artifact],Artifacts[[#This Row],[Artifact]],Artifacts[Input or output],"output")</f>
        <v>1</v>
      </c>
      <c r="E106" s="1" t="str" cm="1">
        <f t="array" ref="E106">VLOOKUP(Artifacts[[#This Row],[SOP]],_xlfn._xlws.FILTER(Roles[],Roles[Type of RACI]="R"),2,FALSE)</f>
        <v>Business Analyst</v>
      </c>
      <c r="F106" s="1" t="str" cm="1">
        <f t="array" ref="F106">VLOOKUP(Artifacts[[#This Row],[SOP]],_xlfn._xlws.FILTER(Roles[],Roles[Type of RACI]="A"),2,FALSE)</f>
        <v>Produktägare</v>
      </c>
      <c r="G106" s="1" t="str" cm="1">
        <f t="array" ref="G106">VLOOKUP(Artifacts[[#This Row],[SOP]],_xlfn._xlws.FILTER(Roles[],Roles[Type of RACI]="C"),2,FALSE)</f>
        <v>Lösningsarkitekt</v>
      </c>
      <c r="H106" s="1" t="str" cm="1">
        <f t="array" ref="H106">VLOOKUP(Artifacts[[#This Row],[SOP]],_xlfn._xlws.FILTER(Roles[],Roles[Type of RACI]="I"),2,FALSE)</f>
        <v>Utvecklare</v>
      </c>
      <c r="I106" s="1" t="str">
        <f>VLOOKUP(Artifacts[[#This Row],[SOP]],SOP[#All],3,FALSE)</f>
        <v>Roadmap</v>
      </c>
      <c r="J106" s="1" t="str">
        <f>VLOOKUP(Artifacts[[#This Row],[SOP]],SOP[#All],2,FALSE)</f>
        <v>Skapa releaseplan</v>
      </c>
    </row>
    <row r="107" spans="1:10" hidden="1" x14ac:dyDescent="0.2">
      <c r="A107" s="1" t="s">
        <v>19</v>
      </c>
      <c r="B107" s="1" t="s">
        <v>68</v>
      </c>
      <c r="C107" s="1" t="s">
        <v>9</v>
      </c>
      <c r="D107" s="1">
        <f>COUNTIFS(Artifacts[Artifact],Artifacts[[#This Row],[Artifact]],Artifacts[Input or output],"output")</f>
        <v>2</v>
      </c>
      <c r="E107" s="1" t="str" cm="1">
        <f t="array" ref="E107">VLOOKUP(Artifacts[[#This Row],[SOP]],_xlfn._xlws.FILTER(Roles[],Roles[Type of RACI]="R"),2,FALSE)</f>
        <v>Business Analyst</v>
      </c>
      <c r="F107" s="1" t="str" cm="1">
        <f t="array" ref="F107">VLOOKUP(Artifacts[[#This Row],[SOP]],_xlfn._xlws.FILTER(Roles[],Roles[Type of RACI]="A"),2,FALSE)</f>
        <v>Produktägare</v>
      </c>
      <c r="G107" s="1" t="str" cm="1">
        <f t="array" ref="G107">VLOOKUP(Artifacts[[#This Row],[SOP]],_xlfn._xlws.FILTER(Roles[],Roles[Type of RACI]="C"),2,FALSE)</f>
        <v>Lösningsarkitekt</v>
      </c>
      <c r="H107" s="1" t="str" cm="1">
        <f t="array" ref="H107">VLOOKUP(Artifacts[[#This Row],[SOP]],_xlfn._xlws.FILTER(Roles[],Roles[Type of RACI]="I"),2,FALSE)</f>
        <v>Utvecklare</v>
      </c>
      <c r="I107" s="1" t="str">
        <f>VLOOKUP(Artifacts[[#This Row],[SOP]],SOP[#All],3,FALSE)</f>
        <v>Roadmap</v>
      </c>
      <c r="J107" s="1" t="str">
        <f>VLOOKUP(Artifacts[[#This Row],[SOP]],SOP[#All],2,FALSE)</f>
        <v>Skapa releaseplan</v>
      </c>
    </row>
    <row r="108" spans="1:10" x14ac:dyDescent="0.2">
      <c r="A108" s="1" t="s">
        <v>69</v>
      </c>
      <c r="B108" s="1" t="s">
        <v>68</v>
      </c>
      <c r="C108" s="1" t="s">
        <v>11</v>
      </c>
      <c r="D108" s="1">
        <f>COUNTIFS(Artifacts[Artifact],Artifacts[[#This Row],[Artifact]],Artifacts[Input or output],"output")</f>
        <v>1</v>
      </c>
      <c r="E108" s="1" t="str" cm="1">
        <f t="array" ref="E108">VLOOKUP(Artifacts[[#This Row],[SOP]],_xlfn._xlws.FILTER(Roles[],Roles[Type of RACI]="R"),2,FALSE)</f>
        <v>Business Analyst</v>
      </c>
      <c r="F108" s="1" t="str" cm="1">
        <f t="array" ref="F108">VLOOKUP(Artifacts[[#This Row],[SOP]],_xlfn._xlws.FILTER(Roles[],Roles[Type of RACI]="A"),2,FALSE)</f>
        <v>Produktägare</v>
      </c>
      <c r="G108" s="1" t="str" cm="1">
        <f t="array" ref="G108">VLOOKUP(Artifacts[[#This Row],[SOP]],_xlfn._xlws.FILTER(Roles[],Roles[Type of RACI]="C"),2,FALSE)</f>
        <v>Lösningsarkitekt</v>
      </c>
      <c r="H108" s="1" t="str" cm="1">
        <f t="array" ref="H108">VLOOKUP(Artifacts[[#This Row],[SOP]],_xlfn._xlws.FILTER(Roles[],Roles[Type of RACI]="I"),2,FALSE)</f>
        <v>Utvecklare</v>
      </c>
      <c r="I108" s="1" t="str">
        <f>VLOOKUP(Artifacts[[#This Row],[SOP]],SOP[#All],3,FALSE)</f>
        <v>Roadmap</v>
      </c>
      <c r="J108" s="1" t="str">
        <f>VLOOKUP(Artifacts[[#This Row],[SOP]],SOP[#All],2,FALSE)</f>
        <v>Skapa releaseplan</v>
      </c>
    </row>
    <row r="109" spans="1:10" hidden="1" x14ac:dyDescent="0.2">
      <c r="A109" s="1" t="s">
        <v>69</v>
      </c>
      <c r="B109" s="1" t="s">
        <v>70</v>
      </c>
      <c r="C109" s="1" t="s">
        <v>9</v>
      </c>
      <c r="D109" s="1">
        <f>COUNTIFS(Artifacts[Artifact],Artifacts[[#This Row],[Artifact]],Artifacts[Input or output],"output")</f>
        <v>1</v>
      </c>
      <c r="E109" s="1" t="str" cm="1">
        <f t="array" ref="E109">VLOOKUP(Artifacts[[#This Row],[SOP]],_xlfn._xlws.FILTER(Roles[],Roles[Type of RACI]="R"),2,FALSE)</f>
        <v>Business Analyst</v>
      </c>
      <c r="F109" s="1" t="str" cm="1">
        <f t="array" ref="F109">VLOOKUP(Artifacts[[#This Row],[SOP]],_xlfn._xlws.FILTER(Roles[],Roles[Type of RACI]="A"),2,FALSE)</f>
        <v>Produktägare</v>
      </c>
      <c r="G109" s="1" t="str" cm="1">
        <f t="array" ref="G109">VLOOKUP(Artifacts[[#This Row],[SOP]],_xlfn._xlws.FILTER(Roles[],Roles[Type of RACI]="C"),2,FALSE)</f>
        <v>Lösningsarkitekt</v>
      </c>
      <c r="H109" s="1" t="str" cm="1">
        <f t="array" ref="H109">VLOOKUP(Artifacts[[#This Row],[SOP]],_xlfn._xlws.FILTER(Roles[],Roles[Type of RACI]="I"),2,FALSE)</f>
        <v>Verksamhetsexperter</v>
      </c>
      <c r="I109" s="1" t="str">
        <f>VLOOKUP(Artifacts[[#This Row],[SOP]],SOP[#All],3,FALSE)</f>
        <v>Roadmap</v>
      </c>
      <c r="J109" s="1" t="str">
        <f>VLOOKUP(Artifacts[[#This Row],[SOP]],SOP[#All],2,FALSE)</f>
        <v>Skapa produktroadmap</v>
      </c>
    </row>
    <row r="110" spans="1:10" hidden="1" x14ac:dyDescent="0.2">
      <c r="A110" s="1" t="s">
        <v>34</v>
      </c>
      <c r="B110" s="1" t="s">
        <v>70</v>
      </c>
      <c r="C110" s="1" t="s">
        <v>9</v>
      </c>
      <c r="D110" s="1">
        <f>COUNTIFS(Artifacts[Artifact],Artifacts[[#This Row],[Artifact]],Artifacts[Input or output],"output")</f>
        <v>2</v>
      </c>
      <c r="E110" s="1" t="str" cm="1">
        <f t="array" ref="E110">VLOOKUP(Artifacts[[#This Row],[SOP]],_xlfn._xlws.FILTER(Roles[],Roles[Type of RACI]="R"),2,FALSE)</f>
        <v>Business Analyst</v>
      </c>
      <c r="F110" s="1" t="str" cm="1">
        <f t="array" ref="F110">VLOOKUP(Artifacts[[#This Row],[SOP]],_xlfn._xlws.FILTER(Roles[],Roles[Type of RACI]="A"),2,FALSE)</f>
        <v>Produktägare</v>
      </c>
      <c r="G110" s="1" t="str" cm="1">
        <f t="array" ref="G110">VLOOKUP(Artifacts[[#This Row],[SOP]],_xlfn._xlws.FILTER(Roles[],Roles[Type of RACI]="C"),2,FALSE)</f>
        <v>Lösningsarkitekt</v>
      </c>
      <c r="H110" s="1" t="str" cm="1">
        <f t="array" ref="H110">VLOOKUP(Artifacts[[#This Row],[SOP]],_xlfn._xlws.FILTER(Roles[],Roles[Type of RACI]="I"),2,FALSE)</f>
        <v>Verksamhetsexperter</v>
      </c>
      <c r="I110" s="1" t="str">
        <f>VLOOKUP(Artifacts[[#This Row],[SOP]],SOP[#All],3,FALSE)</f>
        <v>Roadmap</v>
      </c>
      <c r="J110" s="1" t="str">
        <f>VLOOKUP(Artifacts[[#This Row],[SOP]],SOP[#All],2,FALSE)</f>
        <v>Skapa produktroadmap</v>
      </c>
    </row>
    <row r="111" spans="1:10" hidden="1" x14ac:dyDescent="0.2">
      <c r="A111" s="1" t="s">
        <v>19</v>
      </c>
      <c r="B111" s="1" t="s">
        <v>70</v>
      </c>
      <c r="C111" s="1" t="s">
        <v>9</v>
      </c>
      <c r="D111" s="1">
        <f>COUNTIFS(Artifacts[Artifact],Artifacts[[#This Row],[Artifact]],Artifacts[Input or output],"output")</f>
        <v>2</v>
      </c>
      <c r="E111" s="1" t="str" cm="1">
        <f t="array" ref="E111">VLOOKUP(Artifacts[[#This Row],[SOP]],_xlfn._xlws.FILTER(Roles[],Roles[Type of RACI]="R"),2,FALSE)</f>
        <v>Business Analyst</v>
      </c>
      <c r="F111" s="1" t="str" cm="1">
        <f t="array" ref="F111">VLOOKUP(Artifacts[[#This Row],[SOP]],_xlfn._xlws.FILTER(Roles[],Roles[Type of RACI]="A"),2,FALSE)</f>
        <v>Produktägare</v>
      </c>
      <c r="G111" s="1" t="str" cm="1">
        <f t="array" ref="G111">VLOOKUP(Artifacts[[#This Row],[SOP]],_xlfn._xlws.FILTER(Roles[],Roles[Type of RACI]="C"),2,FALSE)</f>
        <v>Lösningsarkitekt</v>
      </c>
      <c r="H111" s="1" t="str" cm="1">
        <f t="array" ref="H111">VLOOKUP(Artifacts[[#This Row],[SOP]],_xlfn._xlws.FILTER(Roles[],Roles[Type of RACI]="I"),2,FALSE)</f>
        <v>Verksamhetsexperter</v>
      </c>
      <c r="I111" s="1" t="str">
        <f>VLOOKUP(Artifacts[[#This Row],[SOP]],SOP[#All],3,FALSE)</f>
        <v>Roadmap</v>
      </c>
      <c r="J111" s="1" t="str">
        <f>VLOOKUP(Artifacts[[#This Row],[SOP]],SOP[#All],2,FALSE)</f>
        <v>Skapa produktroadmap</v>
      </c>
    </row>
    <row r="112" spans="1:10" x14ac:dyDescent="0.2">
      <c r="A112" s="1" t="s">
        <v>71</v>
      </c>
      <c r="B112" s="1" t="s">
        <v>70</v>
      </c>
      <c r="C112" s="1" t="s">
        <v>11</v>
      </c>
      <c r="D112" s="1">
        <f>COUNTIFS(Artifacts[Artifact],Artifacts[[#This Row],[Artifact]],Artifacts[Input or output],"output")</f>
        <v>1</v>
      </c>
      <c r="E112" s="1" t="str" cm="1">
        <f t="array" ref="E112">VLOOKUP(Artifacts[[#This Row],[SOP]],_xlfn._xlws.FILTER(Roles[],Roles[Type of RACI]="R"),2,FALSE)</f>
        <v>Business Analyst</v>
      </c>
      <c r="F112" s="1" t="str" cm="1">
        <f t="array" ref="F112">VLOOKUP(Artifacts[[#This Row],[SOP]],_xlfn._xlws.FILTER(Roles[],Roles[Type of RACI]="A"),2,FALSE)</f>
        <v>Produktägare</v>
      </c>
      <c r="G112" s="1" t="str" cm="1">
        <f t="array" ref="G112">VLOOKUP(Artifacts[[#This Row],[SOP]],_xlfn._xlws.FILTER(Roles[],Roles[Type of RACI]="C"),2,FALSE)</f>
        <v>Lösningsarkitekt</v>
      </c>
      <c r="H112" s="1" t="str" cm="1">
        <f t="array" ref="H112">VLOOKUP(Artifacts[[#This Row],[SOP]],_xlfn._xlws.FILTER(Roles[],Roles[Type of RACI]="I"),2,FALSE)</f>
        <v>Verksamhetsexperter</v>
      </c>
      <c r="I112" s="1" t="str">
        <f>VLOOKUP(Artifacts[[#This Row],[SOP]],SOP[#All],3,FALSE)</f>
        <v>Roadmap</v>
      </c>
      <c r="J112" s="1" t="str">
        <f>VLOOKUP(Artifacts[[#This Row],[SOP]],SOP[#All],2,FALSE)</f>
        <v>Skapa produktroadmap</v>
      </c>
    </row>
    <row r="113" spans="1:10" hidden="1" x14ac:dyDescent="0.2">
      <c r="A113" s="1" t="s">
        <v>67</v>
      </c>
      <c r="B113" s="1" t="s">
        <v>72</v>
      </c>
      <c r="C113" s="1" t="s">
        <v>9</v>
      </c>
      <c r="D113" s="1">
        <f>COUNTIFS(Artifacts[Artifact],Artifacts[[#This Row],[Artifact]],Artifacts[Input or output],"output")</f>
        <v>2</v>
      </c>
      <c r="E113" s="1" t="str" cm="1">
        <f t="array" ref="E113">VLOOKUP(Artifacts[[#This Row],[SOP]],_xlfn._xlws.FILTER(Roles[],Roles[Type of RACI]="R"),2,FALSE)</f>
        <v>Business Analyst</v>
      </c>
      <c r="F113" s="1" t="str" cm="1">
        <f t="array" ref="F113">VLOOKUP(Artifacts[[#This Row],[SOP]],_xlfn._xlws.FILTER(Roles[],Roles[Type of RACI]="A"),2,FALSE)</f>
        <v>Produktägare</v>
      </c>
      <c r="G113" s="1" t="str" cm="1">
        <f t="array" ref="G113">VLOOKUP(Artifacts[[#This Row],[SOP]],_xlfn._xlws.FILTER(Roles[],Roles[Type of RACI]="C"),2,FALSE)</f>
        <v>Lösningsarkitekt</v>
      </c>
      <c r="H113" s="1" t="str" cm="1">
        <f t="array" ref="H113">VLOOKUP(Artifacts[[#This Row],[SOP]],_xlfn._xlws.FILTER(Roles[],Roles[Type of RACI]="I"),2,FALSE)</f>
        <v>Utvecklare</v>
      </c>
      <c r="I113" s="1" t="str">
        <f>VLOOKUP(Artifacts[[#This Row],[SOP]],SOP[#All],3,FALSE)</f>
        <v>Roadmap</v>
      </c>
      <c r="J113" s="1" t="str">
        <f>VLOOKUP(Artifacts[[#This Row],[SOP]],SOP[#All],2,FALSE)</f>
        <v>Prioritera funktionalitet</v>
      </c>
    </row>
    <row r="114" spans="1:10" hidden="1" x14ac:dyDescent="0.2">
      <c r="A114" s="1" t="s">
        <v>19</v>
      </c>
      <c r="B114" s="1" t="s">
        <v>72</v>
      </c>
      <c r="C114" s="1" t="s">
        <v>9</v>
      </c>
      <c r="D114" s="1">
        <f>COUNTIFS(Artifacts[Artifact],Artifacts[[#This Row],[Artifact]],Artifacts[Input or output],"output")</f>
        <v>2</v>
      </c>
      <c r="E114" s="1" t="str" cm="1">
        <f t="array" ref="E114">VLOOKUP(Artifacts[[#This Row],[SOP]],_xlfn._xlws.FILTER(Roles[],Roles[Type of RACI]="R"),2,FALSE)</f>
        <v>Business Analyst</v>
      </c>
      <c r="F114" s="1" t="str" cm="1">
        <f t="array" ref="F114">VLOOKUP(Artifacts[[#This Row],[SOP]],_xlfn._xlws.FILTER(Roles[],Roles[Type of RACI]="A"),2,FALSE)</f>
        <v>Produktägare</v>
      </c>
      <c r="G114" s="1" t="str" cm="1">
        <f t="array" ref="G114">VLOOKUP(Artifacts[[#This Row],[SOP]],_xlfn._xlws.FILTER(Roles[],Roles[Type of RACI]="C"),2,FALSE)</f>
        <v>Lösningsarkitekt</v>
      </c>
      <c r="H114" s="1" t="str" cm="1">
        <f t="array" ref="H114">VLOOKUP(Artifacts[[#This Row],[SOP]],_xlfn._xlws.FILTER(Roles[],Roles[Type of RACI]="I"),2,FALSE)</f>
        <v>Utvecklare</v>
      </c>
      <c r="I114" s="1" t="str">
        <f>VLOOKUP(Artifacts[[#This Row],[SOP]],SOP[#All],3,FALSE)</f>
        <v>Roadmap</v>
      </c>
      <c r="J114" s="1" t="str">
        <f>VLOOKUP(Artifacts[[#This Row],[SOP]],SOP[#All],2,FALSE)</f>
        <v>Prioritera funktionalitet</v>
      </c>
    </row>
    <row r="115" spans="1:10" hidden="1" x14ac:dyDescent="0.2">
      <c r="A115" s="1" t="s">
        <v>65</v>
      </c>
      <c r="B115" s="1" t="s">
        <v>72</v>
      </c>
      <c r="C115" s="1" t="s">
        <v>9</v>
      </c>
      <c r="D115" s="1">
        <f>COUNTIFS(Artifacts[Artifact],Artifacts[[#This Row],[Artifact]],Artifacts[Input or output],"output")</f>
        <v>1</v>
      </c>
      <c r="E115" s="1" t="str" cm="1">
        <f t="array" ref="E115">VLOOKUP(Artifacts[[#This Row],[SOP]],_xlfn._xlws.FILTER(Roles[],Roles[Type of RACI]="R"),2,FALSE)</f>
        <v>Business Analyst</v>
      </c>
      <c r="F115" s="1" t="str" cm="1">
        <f t="array" ref="F115">VLOOKUP(Artifacts[[#This Row],[SOP]],_xlfn._xlws.FILTER(Roles[],Roles[Type of RACI]="A"),2,FALSE)</f>
        <v>Produktägare</v>
      </c>
      <c r="G115" s="1" t="str" cm="1">
        <f t="array" ref="G115">VLOOKUP(Artifacts[[#This Row],[SOP]],_xlfn._xlws.FILTER(Roles[],Roles[Type of RACI]="C"),2,FALSE)</f>
        <v>Lösningsarkitekt</v>
      </c>
      <c r="H115" s="1" t="str" cm="1">
        <f t="array" ref="H115">VLOOKUP(Artifacts[[#This Row],[SOP]],_xlfn._xlws.FILTER(Roles[],Roles[Type of RACI]="I"),2,FALSE)</f>
        <v>Utvecklare</v>
      </c>
      <c r="I115" s="1" t="str">
        <f>VLOOKUP(Artifacts[[#This Row],[SOP]],SOP[#All],3,FALSE)</f>
        <v>Roadmap</v>
      </c>
      <c r="J115" s="1" t="str">
        <f>VLOOKUP(Artifacts[[#This Row],[SOP]],SOP[#All],2,FALSE)</f>
        <v>Prioritera funktionalitet</v>
      </c>
    </row>
    <row r="116" spans="1:10" hidden="1" x14ac:dyDescent="0.2">
      <c r="A116" s="1" t="s">
        <v>36</v>
      </c>
      <c r="B116" s="1" t="s">
        <v>72</v>
      </c>
      <c r="C116" s="1" t="s">
        <v>9</v>
      </c>
      <c r="D116" s="1">
        <f>COUNTIFS(Artifacts[Artifact],Artifacts[[#This Row],[Artifact]],Artifacts[Input or output],"output")</f>
        <v>1</v>
      </c>
      <c r="E116" s="1" t="str" cm="1">
        <f t="array" ref="E116">VLOOKUP(Artifacts[[#This Row],[SOP]],_xlfn._xlws.FILTER(Roles[],Roles[Type of RACI]="R"),2,FALSE)</f>
        <v>Business Analyst</v>
      </c>
      <c r="F116" s="1" t="str" cm="1">
        <f t="array" ref="F116">VLOOKUP(Artifacts[[#This Row],[SOP]],_xlfn._xlws.FILTER(Roles[],Roles[Type of RACI]="A"),2,FALSE)</f>
        <v>Produktägare</v>
      </c>
      <c r="G116" s="1" t="str" cm="1">
        <f t="array" ref="G116">VLOOKUP(Artifacts[[#This Row],[SOP]],_xlfn._xlws.FILTER(Roles[],Roles[Type of RACI]="C"),2,FALSE)</f>
        <v>Lösningsarkitekt</v>
      </c>
      <c r="H116" s="1" t="str" cm="1">
        <f t="array" ref="H116">VLOOKUP(Artifacts[[#This Row],[SOP]],_xlfn._xlws.FILTER(Roles[],Roles[Type of RACI]="I"),2,FALSE)</f>
        <v>Utvecklare</v>
      </c>
      <c r="I116" s="1" t="str">
        <f>VLOOKUP(Artifacts[[#This Row],[SOP]],SOP[#All],3,FALSE)</f>
        <v>Roadmap</v>
      </c>
      <c r="J116" s="1" t="str">
        <f>VLOOKUP(Artifacts[[#This Row],[SOP]],SOP[#All],2,FALSE)</f>
        <v>Prioritera funktionalitet</v>
      </c>
    </row>
    <row r="117" spans="1:10" x14ac:dyDescent="0.2">
      <c r="A117" s="1" t="s">
        <v>34</v>
      </c>
      <c r="B117" s="1" t="s">
        <v>72</v>
      </c>
      <c r="C117" s="1" t="s">
        <v>11</v>
      </c>
      <c r="D117" s="1">
        <f>COUNTIFS(Artifacts[Artifact],Artifacts[[#This Row],[Artifact]],Artifacts[Input or output],"output")</f>
        <v>2</v>
      </c>
      <c r="E117" s="1" t="str" cm="1">
        <f t="array" ref="E117">VLOOKUP(Artifacts[[#This Row],[SOP]],_xlfn._xlws.FILTER(Roles[],Roles[Type of RACI]="R"),2,FALSE)</f>
        <v>Business Analyst</v>
      </c>
      <c r="F117" s="1" t="str" cm="1">
        <f t="array" ref="F117">VLOOKUP(Artifacts[[#This Row],[SOP]],_xlfn._xlws.FILTER(Roles[],Roles[Type of RACI]="A"),2,FALSE)</f>
        <v>Produktägare</v>
      </c>
      <c r="G117" s="1" t="str" cm="1">
        <f t="array" ref="G117">VLOOKUP(Artifacts[[#This Row],[SOP]],_xlfn._xlws.FILTER(Roles[],Roles[Type of RACI]="C"),2,FALSE)</f>
        <v>Lösningsarkitekt</v>
      </c>
      <c r="H117" s="1" t="str" cm="1">
        <f t="array" ref="H117">VLOOKUP(Artifacts[[#This Row],[SOP]],_xlfn._xlws.FILTER(Roles[],Roles[Type of RACI]="I"),2,FALSE)</f>
        <v>Utvecklare</v>
      </c>
      <c r="I117" s="1" t="str">
        <f>VLOOKUP(Artifacts[[#This Row],[SOP]],SOP[#All],3,FALSE)</f>
        <v>Roadmap</v>
      </c>
      <c r="J117" s="1" t="str">
        <f>VLOOKUP(Artifacts[[#This Row],[SOP]],SOP[#All],2,FALSE)</f>
        <v>Prioritera funktionalitet</v>
      </c>
    </row>
    <row r="118" spans="1:10" hidden="1" x14ac:dyDescent="0.2">
      <c r="A118" s="1" t="s">
        <v>67</v>
      </c>
      <c r="B118" s="1" t="s">
        <v>73</v>
      </c>
      <c r="C118" s="1" t="s">
        <v>9</v>
      </c>
      <c r="D118" s="1">
        <f>COUNTIFS(Artifacts[Artifact],Artifacts[[#This Row],[Artifact]],Artifacts[Input or output],"output")</f>
        <v>2</v>
      </c>
      <c r="E118" s="1" t="str" cm="1">
        <f t="array" ref="E118">VLOOKUP(Artifacts[[#This Row],[SOP]],_xlfn._xlws.FILTER(Roles[],Roles[Type of RACI]="R"),2,FALSE)</f>
        <v>Teknisk Lead</v>
      </c>
      <c r="F118" s="1" t="str" cm="1">
        <f t="array" ref="F118">VLOOKUP(Artifacts[[#This Row],[SOP]],_xlfn._xlws.FILTER(Roles[],Roles[Type of RACI]="A"),2,FALSE)</f>
        <v>Lösningsarkitekt</v>
      </c>
      <c r="G118" s="1" t="str" cm="1">
        <f t="array" ref="G118">VLOOKUP(Artifacts[[#This Row],[SOP]],_xlfn._xlws.FILTER(Roles[],Roles[Type of RACI]="C"),2,FALSE)</f>
        <v>Utvecklare</v>
      </c>
      <c r="H118" s="1" t="str" cm="1">
        <f t="array" ref="H118">VLOOKUP(Artifacts[[#This Row],[SOP]],_xlfn._xlws.FILTER(Roles[],Roles[Type of RACI]="I"),2,FALSE)</f>
        <v>Produktägare</v>
      </c>
      <c r="I118" s="1" t="str">
        <f>VLOOKUP(Artifacts[[#This Row],[SOP]],SOP[#All],3,FALSE)</f>
        <v>Roadmap</v>
      </c>
      <c r="J118" s="1" t="str">
        <f>VLOOKUP(Artifacts[[#This Row],[SOP]],SOP[#All],2,FALSE)</f>
        <v>Identifiera tekniska beroenden</v>
      </c>
    </row>
    <row r="119" spans="1:10" hidden="1" x14ac:dyDescent="0.2">
      <c r="A119" s="1" t="s">
        <v>23</v>
      </c>
      <c r="B119" s="1" t="s">
        <v>73</v>
      </c>
      <c r="C119" s="1" t="s">
        <v>9</v>
      </c>
      <c r="D119" s="1">
        <f>COUNTIFS(Artifacts[Artifact],Artifacts[[#This Row],[Artifact]],Artifacts[Input or output],"output")</f>
        <v>2</v>
      </c>
      <c r="E119" s="1" t="str" cm="1">
        <f t="array" ref="E119">VLOOKUP(Artifacts[[#This Row],[SOP]],_xlfn._xlws.FILTER(Roles[],Roles[Type of RACI]="R"),2,FALSE)</f>
        <v>Teknisk Lead</v>
      </c>
      <c r="F119" s="1" t="str" cm="1">
        <f t="array" ref="F119">VLOOKUP(Artifacts[[#This Row],[SOP]],_xlfn._xlws.FILTER(Roles[],Roles[Type of RACI]="A"),2,FALSE)</f>
        <v>Lösningsarkitekt</v>
      </c>
      <c r="G119" s="1" t="str" cm="1">
        <f t="array" ref="G119">VLOOKUP(Artifacts[[#This Row],[SOP]],_xlfn._xlws.FILTER(Roles[],Roles[Type of RACI]="C"),2,FALSE)</f>
        <v>Utvecklare</v>
      </c>
      <c r="H119" s="1" t="str" cm="1">
        <f t="array" ref="H119">VLOOKUP(Artifacts[[#This Row],[SOP]],_xlfn._xlws.FILTER(Roles[],Roles[Type of RACI]="I"),2,FALSE)</f>
        <v>Produktägare</v>
      </c>
      <c r="I119" s="1" t="str">
        <f>VLOOKUP(Artifacts[[#This Row],[SOP]],SOP[#All],3,FALSE)</f>
        <v>Roadmap</v>
      </c>
      <c r="J119" s="1" t="str">
        <f>VLOOKUP(Artifacts[[#This Row],[SOP]],SOP[#All],2,FALSE)</f>
        <v>Identifiera tekniska beroenden</v>
      </c>
    </row>
    <row r="120" spans="1:10" hidden="1" x14ac:dyDescent="0.2">
      <c r="A120" s="1" t="s">
        <v>47</v>
      </c>
      <c r="B120" s="1" t="s">
        <v>73</v>
      </c>
      <c r="C120" s="1" t="s">
        <v>9</v>
      </c>
      <c r="D120" s="1">
        <f>COUNTIFS(Artifacts[Artifact],Artifacts[[#This Row],[Artifact]],Artifacts[Input or output],"output")</f>
        <v>1</v>
      </c>
      <c r="E120" s="1" t="str" cm="1">
        <f t="array" ref="E120">VLOOKUP(Artifacts[[#This Row],[SOP]],_xlfn._xlws.FILTER(Roles[],Roles[Type of RACI]="R"),2,FALSE)</f>
        <v>Teknisk Lead</v>
      </c>
      <c r="F120" s="1" t="str" cm="1">
        <f t="array" ref="F120">VLOOKUP(Artifacts[[#This Row],[SOP]],_xlfn._xlws.FILTER(Roles[],Roles[Type of RACI]="A"),2,FALSE)</f>
        <v>Lösningsarkitekt</v>
      </c>
      <c r="G120" s="1" t="str" cm="1">
        <f t="array" ref="G120">VLOOKUP(Artifacts[[#This Row],[SOP]],_xlfn._xlws.FILTER(Roles[],Roles[Type of RACI]="C"),2,FALSE)</f>
        <v>Utvecklare</v>
      </c>
      <c r="H120" s="1" t="str" cm="1">
        <f t="array" ref="H120">VLOOKUP(Artifacts[[#This Row],[SOP]],_xlfn._xlws.FILTER(Roles[],Roles[Type of RACI]="I"),2,FALSE)</f>
        <v>Produktägare</v>
      </c>
      <c r="I120" s="1" t="str">
        <f>VLOOKUP(Artifacts[[#This Row],[SOP]],SOP[#All],3,FALSE)</f>
        <v>Roadmap</v>
      </c>
      <c r="J120" s="1" t="str">
        <f>VLOOKUP(Artifacts[[#This Row],[SOP]],SOP[#All],2,FALSE)</f>
        <v>Identifiera tekniska beroenden</v>
      </c>
    </row>
    <row r="121" spans="1:10" x14ac:dyDescent="0.2">
      <c r="A121" s="1" t="s">
        <v>19</v>
      </c>
      <c r="B121" s="1" t="s">
        <v>73</v>
      </c>
      <c r="C121" s="1" t="s">
        <v>11</v>
      </c>
      <c r="D121" s="1">
        <f>COUNTIFS(Artifacts[Artifact],Artifacts[[#This Row],[Artifact]],Artifacts[Input or output],"output")</f>
        <v>2</v>
      </c>
      <c r="E121" s="1" t="str" cm="1">
        <f t="array" ref="E121">VLOOKUP(Artifacts[[#This Row],[SOP]],_xlfn._xlws.FILTER(Roles[],Roles[Type of RACI]="R"),2,FALSE)</f>
        <v>Teknisk Lead</v>
      </c>
      <c r="F121" s="1" t="str" cm="1">
        <f t="array" ref="F121">VLOOKUP(Artifacts[[#This Row],[SOP]],_xlfn._xlws.FILTER(Roles[],Roles[Type of RACI]="A"),2,FALSE)</f>
        <v>Lösningsarkitekt</v>
      </c>
      <c r="G121" s="1" t="str" cm="1">
        <f t="array" ref="G121">VLOOKUP(Artifacts[[#This Row],[SOP]],_xlfn._xlws.FILTER(Roles[],Roles[Type of RACI]="C"),2,FALSE)</f>
        <v>Utvecklare</v>
      </c>
      <c r="H121" s="1" t="str" cm="1">
        <f t="array" ref="H121">VLOOKUP(Artifacts[[#This Row],[SOP]],_xlfn._xlws.FILTER(Roles[],Roles[Type of RACI]="I"),2,FALSE)</f>
        <v>Produktägare</v>
      </c>
      <c r="I121" s="1" t="str">
        <f>VLOOKUP(Artifacts[[#This Row],[SOP]],SOP[#All],3,FALSE)</f>
        <v>Roadmap</v>
      </c>
      <c r="J121" s="1" t="str">
        <f>VLOOKUP(Artifacts[[#This Row],[SOP]],SOP[#All],2,FALSE)</f>
        <v>Identifiera tekniska beroenden</v>
      </c>
    </row>
    <row r="122" spans="1:10" x14ac:dyDescent="0.2">
      <c r="A122" s="1" t="s">
        <v>75</v>
      </c>
      <c r="B122" s="1" t="s">
        <v>73</v>
      </c>
      <c r="C122" s="1" t="s">
        <v>11</v>
      </c>
      <c r="D122" s="1">
        <f>COUNTIFS(Artifacts[Artifact],Artifacts[[#This Row],[Artifact]],Artifacts[Input or output],"output")</f>
        <v>1</v>
      </c>
      <c r="E122" s="1" t="str" cm="1">
        <f t="array" ref="E122">VLOOKUP(Artifacts[[#This Row],[SOP]],_xlfn._xlws.FILTER(Roles[],Roles[Type of RACI]="R"),2,FALSE)</f>
        <v>Teknisk Lead</v>
      </c>
      <c r="F122" s="1" t="str" cm="1">
        <f t="array" ref="F122">VLOOKUP(Artifacts[[#This Row],[SOP]],_xlfn._xlws.FILTER(Roles[],Roles[Type of RACI]="A"),2,FALSE)</f>
        <v>Lösningsarkitekt</v>
      </c>
      <c r="G122" s="1" t="str" cm="1">
        <f t="array" ref="G122">VLOOKUP(Artifacts[[#This Row],[SOP]],_xlfn._xlws.FILTER(Roles[],Roles[Type of RACI]="C"),2,FALSE)</f>
        <v>Utvecklare</v>
      </c>
      <c r="H122" s="1" t="str" cm="1">
        <f t="array" ref="H122">VLOOKUP(Artifacts[[#This Row],[SOP]],_xlfn._xlws.FILTER(Roles[],Roles[Type of RACI]="I"),2,FALSE)</f>
        <v>Produktägare</v>
      </c>
      <c r="I122" s="1" t="str">
        <f>VLOOKUP(Artifacts[[#This Row],[SOP]],SOP[#All],3,FALSE)</f>
        <v>Roadmap</v>
      </c>
      <c r="J122" s="1" t="str">
        <f>VLOOKUP(Artifacts[[#This Row],[SOP]],SOP[#All],2,FALSE)</f>
        <v>Identifiera tekniska beroenden</v>
      </c>
    </row>
    <row r="123" spans="1:10" hidden="1" x14ac:dyDescent="0.2">
      <c r="A123" s="1" t="s">
        <v>34</v>
      </c>
      <c r="B123" s="1" t="s">
        <v>76</v>
      </c>
      <c r="C123" s="1" t="s">
        <v>9</v>
      </c>
      <c r="D123" s="1">
        <f>COUNTIFS(Artifacts[Artifact],Artifacts[[#This Row],[Artifact]],Artifacts[Input or output],"output")</f>
        <v>2</v>
      </c>
      <c r="E123" s="1" t="str" cm="1">
        <f t="array" ref="E123">VLOOKUP(Artifacts[[#This Row],[SOP]],_xlfn._xlws.FILTER(Roles[],Roles[Type of RACI]="R"),2,FALSE)</f>
        <v>Business Analyst</v>
      </c>
      <c r="F123" s="1" t="str" cm="1">
        <f t="array" ref="F123">VLOOKUP(Artifacts[[#This Row],[SOP]],_xlfn._xlws.FILTER(Roles[],Roles[Type of RACI]="A"),2,FALSE)</f>
        <v>Produktägare</v>
      </c>
      <c r="G123" s="1" t="str" cm="1">
        <f t="array" ref="G123">VLOOKUP(Artifacts[[#This Row],[SOP]],_xlfn._xlws.FILTER(Roles[],Roles[Type of RACI]="C"),2,FALSE)</f>
        <v>Utvecklare</v>
      </c>
      <c r="H123" s="1" t="str" cm="1">
        <f t="array" ref="H123">VLOOKUP(Artifacts[[#This Row],[SOP]],_xlfn._xlws.FILTER(Roles[],Roles[Type of RACI]="I"),2,FALSE)</f>
        <v>Lösningsarkitekt</v>
      </c>
      <c r="I123" s="1" t="str">
        <f>VLOOKUP(Artifacts[[#This Row],[SOP]],SOP[#All],3,FALSE)</f>
        <v>Leverans</v>
      </c>
      <c r="J123" s="1" t="str">
        <f>VLOOKUP(Artifacts[[#This Row],[SOP]],SOP[#All],2,FALSE)</f>
        <v>Backlog refinement</v>
      </c>
    </row>
    <row r="124" spans="1:10" hidden="1" x14ac:dyDescent="0.2">
      <c r="A124" s="1" t="s">
        <v>77</v>
      </c>
      <c r="B124" s="1" t="s">
        <v>76</v>
      </c>
      <c r="C124" s="1" t="s">
        <v>9</v>
      </c>
      <c r="D124" s="1">
        <f>COUNTIFS(Artifacts[Artifact],Artifacts[[#This Row],[Artifact]],Artifacts[Input or output],"output")</f>
        <v>1</v>
      </c>
      <c r="E124" s="1" t="str" cm="1">
        <f t="array" ref="E124">VLOOKUP(Artifacts[[#This Row],[SOP]],_xlfn._xlws.FILTER(Roles[],Roles[Type of RACI]="R"),2,FALSE)</f>
        <v>Business Analyst</v>
      </c>
      <c r="F124" s="1" t="str" cm="1">
        <f t="array" ref="F124">VLOOKUP(Artifacts[[#This Row],[SOP]],_xlfn._xlws.FILTER(Roles[],Roles[Type of RACI]="A"),2,FALSE)</f>
        <v>Produktägare</v>
      </c>
      <c r="G124" s="1" t="str" cm="1">
        <f t="array" ref="G124">VLOOKUP(Artifacts[[#This Row],[SOP]],_xlfn._xlws.FILTER(Roles[],Roles[Type of RACI]="C"),2,FALSE)</f>
        <v>Utvecklare</v>
      </c>
      <c r="H124" s="1" t="str" cm="1">
        <f t="array" ref="H124">VLOOKUP(Artifacts[[#This Row],[SOP]],_xlfn._xlws.FILTER(Roles[],Roles[Type of RACI]="I"),2,FALSE)</f>
        <v>Lösningsarkitekt</v>
      </c>
      <c r="I124" s="1" t="str">
        <f>VLOOKUP(Artifacts[[#This Row],[SOP]],SOP[#All],3,FALSE)</f>
        <v>Leverans</v>
      </c>
      <c r="J124" s="1" t="str">
        <f>VLOOKUP(Artifacts[[#This Row],[SOP]],SOP[#All],2,FALSE)</f>
        <v>Backlog refinement</v>
      </c>
    </row>
    <row r="125" spans="1:10" hidden="1" x14ac:dyDescent="0.2">
      <c r="A125" s="1" t="s">
        <v>78</v>
      </c>
      <c r="B125" s="1" t="s">
        <v>76</v>
      </c>
      <c r="C125" s="1" t="s">
        <v>9</v>
      </c>
      <c r="D125" s="1">
        <f>COUNTIFS(Artifacts[Artifact],Artifacts[[#This Row],[Artifact]],Artifacts[Input or output],"output")</f>
        <v>1</v>
      </c>
      <c r="E125" s="1" t="str" cm="1">
        <f t="array" ref="E125">VLOOKUP(Artifacts[[#This Row],[SOP]],_xlfn._xlws.FILTER(Roles[],Roles[Type of RACI]="R"),2,FALSE)</f>
        <v>Business Analyst</v>
      </c>
      <c r="F125" s="1" t="str" cm="1">
        <f t="array" ref="F125">VLOOKUP(Artifacts[[#This Row],[SOP]],_xlfn._xlws.FILTER(Roles[],Roles[Type of RACI]="A"),2,FALSE)</f>
        <v>Produktägare</v>
      </c>
      <c r="G125" s="1" t="str" cm="1">
        <f t="array" ref="G125">VLOOKUP(Artifacts[[#This Row],[SOP]],_xlfn._xlws.FILTER(Roles[],Roles[Type of RACI]="C"),2,FALSE)</f>
        <v>Utvecklare</v>
      </c>
      <c r="H125" s="1" t="str" cm="1">
        <f t="array" ref="H125">VLOOKUP(Artifacts[[#This Row],[SOP]],_xlfn._xlws.FILTER(Roles[],Roles[Type of RACI]="I"),2,FALSE)</f>
        <v>Lösningsarkitekt</v>
      </c>
      <c r="I125" s="1" t="str">
        <f>VLOOKUP(Artifacts[[#This Row],[SOP]],SOP[#All],3,FALSE)</f>
        <v>Leverans</v>
      </c>
      <c r="J125" s="1" t="str">
        <f>VLOOKUP(Artifacts[[#This Row],[SOP]],SOP[#All],2,FALSE)</f>
        <v>Backlog refinement</v>
      </c>
    </row>
    <row r="126" spans="1:10" x14ac:dyDescent="0.2">
      <c r="A126" s="1" t="s">
        <v>21</v>
      </c>
      <c r="B126" s="1" t="s">
        <v>76</v>
      </c>
      <c r="C126" s="1" t="s">
        <v>11</v>
      </c>
      <c r="D126" s="1">
        <f>COUNTIFS(Artifacts[Artifact],Artifacts[[#This Row],[Artifact]],Artifacts[Input or output],"output")</f>
        <v>1</v>
      </c>
      <c r="E126" s="1" t="str" cm="1">
        <f t="array" ref="E126">VLOOKUP(Artifacts[[#This Row],[SOP]],_xlfn._xlws.FILTER(Roles[],Roles[Type of RACI]="R"),2,FALSE)</f>
        <v>Business Analyst</v>
      </c>
      <c r="F126" s="1" t="str" cm="1">
        <f t="array" ref="F126">VLOOKUP(Artifacts[[#This Row],[SOP]],_xlfn._xlws.FILTER(Roles[],Roles[Type of RACI]="A"),2,FALSE)</f>
        <v>Produktägare</v>
      </c>
      <c r="G126" s="1" t="str" cm="1">
        <f t="array" ref="G126">VLOOKUP(Artifacts[[#This Row],[SOP]],_xlfn._xlws.FILTER(Roles[],Roles[Type of RACI]="C"),2,FALSE)</f>
        <v>Utvecklare</v>
      </c>
      <c r="H126" s="1" t="str" cm="1">
        <f t="array" ref="H126">VLOOKUP(Artifacts[[#This Row],[SOP]],_xlfn._xlws.FILTER(Roles[],Roles[Type of RACI]="I"),2,FALSE)</f>
        <v>Lösningsarkitekt</v>
      </c>
      <c r="I126" s="1" t="str">
        <f>VLOOKUP(Artifacts[[#This Row],[SOP]],SOP[#All],3,FALSE)</f>
        <v>Leverans</v>
      </c>
      <c r="J126" s="1" t="str">
        <f>VLOOKUP(Artifacts[[#This Row],[SOP]],SOP[#All],2,FALSE)</f>
        <v>Backlog refinement</v>
      </c>
    </row>
    <row r="127" spans="1:10" x14ac:dyDescent="0.2">
      <c r="A127" s="1" t="s">
        <v>79</v>
      </c>
      <c r="B127" s="1" t="s">
        <v>76</v>
      </c>
      <c r="C127" s="1" t="s">
        <v>11</v>
      </c>
      <c r="D127" s="1">
        <f>COUNTIFS(Artifacts[Artifact],Artifacts[[#This Row],[Artifact]],Artifacts[Input or output],"output")</f>
        <v>1</v>
      </c>
      <c r="E127" s="1" t="str" cm="1">
        <f t="array" ref="E127">VLOOKUP(Artifacts[[#This Row],[SOP]],_xlfn._xlws.FILTER(Roles[],Roles[Type of RACI]="R"),2,FALSE)</f>
        <v>Business Analyst</v>
      </c>
      <c r="F127" s="1" t="str" cm="1">
        <f t="array" ref="F127">VLOOKUP(Artifacts[[#This Row],[SOP]],_xlfn._xlws.FILTER(Roles[],Roles[Type of RACI]="A"),2,FALSE)</f>
        <v>Produktägare</v>
      </c>
      <c r="G127" s="1" t="str" cm="1">
        <f t="array" ref="G127">VLOOKUP(Artifacts[[#This Row],[SOP]],_xlfn._xlws.FILTER(Roles[],Roles[Type of RACI]="C"),2,FALSE)</f>
        <v>Utvecklare</v>
      </c>
      <c r="H127" s="1" t="str" cm="1">
        <f t="array" ref="H127">VLOOKUP(Artifacts[[#This Row],[SOP]],_xlfn._xlws.FILTER(Roles[],Roles[Type of RACI]="I"),2,FALSE)</f>
        <v>Lösningsarkitekt</v>
      </c>
      <c r="I127" s="1" t="str">
        <f>VLOOKUP(Artifacts[[#This Row],[SOP]],SOP[#All],3,FALSE)</f>
        <v>Leverans</v>
      </c>
      <c r="J127" s="1" t="str">
        <f>VLOOKUP(Artifacts[[#This Row],[SOP]],SOP[#All],2,FALSE)</f>
        <v>Backlog refinement</v>
      </c>
    </row>
    <row r="128" spans="1:10" hidden="1" x14ac:dyDescent="0.2">
      <c r="A128" s="1" t="s">
        <v>79</v>
      </c>
      <c r="B128" s="1" t="s">
        <v>80</v>
      </c>
      <c r="C128" s="1" t="s">
        <v>9</v>
      </c>
      <c r="D128" s="1">
        <f>COUNTIFS(Artifacts[Artifact],Artifacts[[#This Row],[Artifact]],Artifacts[Input or output],"output")</f>
        <v>1</v>
      </c>
      <c r="E128" s="1" t="str" cm="1">
        <f t="array" ref="E128">VLOOKUP(Artifacts[[#This Row],[SOP]],_xlfn._xlws.FILTER(Roles[],Roles[Type of RACI]="R"),2,FALSE)</f>
        <v>Scrum Master</v>
      </c>
      <c r="F128" s="1" t="str" cm="1">
        <f t="array" ref="F128">VLOOKUP(Artifacts[[#This Row],[SOP]],_xlfn._xlws.FILTER(Roles[],Roles[Type of RACI]="A"),2,FALSE)</f>
        <v>Produktägare</v>
      </c>
      <c r="G128" s="1" t="str" cm="1">
        <f t="array" ref="G128">VLOOKUP(Artifacts[[#This Row],[SOP]],_xlfn._xlws.FILTER(Roles[],Roles[Type of RACI]="C"),2,FALSE)</f>
        <v>Utvecklare</v>
      </c>
      <c r="H128" s="1" t="str" cm="1">
        <f t="array" ref="H128">VLOOKUP(Artifacts[[#This Row],[SOP]],_xlfn._xlws.FILTER(Roles[],Roles[Type of RACI]="I"),2,FALSE)</f>
        <v>Business Analyst</v>
      </c>
      <c r="I128" s="1" t="str">
        <f>VLOOKUP(Artifacts[[#This Row],[SOP]],SOP[#All],3,FALSE)</f>
        <v>Leverans</v>
      </c>
      <c r="J128" s="1" t="str">
        <f>VLOOKUP(Artifacts[[#This Row],[SOP]],SOP[#All],2,FALSE)</f>
        <v>Sprintplanering</v>
      </c>
    </row>
    <row r="129" spans="1:10" hidden="1" x14ac:dyDescent="0.2">
      <c r="A129" s="1" t="s">
        <v>81</v>
      </c>
      <c r="B129" s="1" t="s">
        <v>80</v>
      </c>
      <c r="C129" s="1" t="s">
        <v>9</v>
      </c>
      <c r="D129" s="1">
        <f>COUNTIFS(Artifacts[Artifact],Artifacts[[#This Row],[Artifact]],Artifacts[Input or output],"output")</f>
        <v>0</v>
      </c>
      <c r="E129" s="1" t="str" cm="1">
        <f t="array" ref="E129">VLOOKUP(Artifacts[[#This Row],[SOP]],_xlfn._xlws.FILTER(Roles[],Roles[Type of RACI]="R"),2,FALSE)</f>
        <v>Scrum Master</v>
      </c>
      <c r="F129" s="1" t="str" cm="1">
        <f t="array" ref="F129">VLOOKUP(Artifacts[[#This Row],[SOP]],_xlfn._xlws.FILTER(Roles[],Roles[Type of RACI]="A"),2,FALSE)</f>
        <v>Produktägare</v>
      </c>
      <c r="G129" s="1" t="str" cm="1">
        <f t="array" ref="G129">VLOOKUP(Artifacts[[#This Row],[SOP]],_xlfn._xlws.FILTER(Roles[],Roles[Type of RACI]="C"),2,FALSE)</f>
        <v>Utvecklare</v>
      </c>
      <c r="H129" s="1" t="str" cm="1">
        <f t="array" ref="H129">VLOOKUP(Artifacts[[#This Row],[SOP]],_xlfn._xlws.FILTER(Roles[],Roles[Type of RACI]="I"),2,FALSE)</f>
        <v>Business Analyst</v>
      </c>
      <c r="I129" s="1" t="str">
        <f>VLOOKUP(Artifacts[[#This Row],[SOP]],SOP[#All],3,FALSE)</f>
        <v>Leverans</v>
      </c>
      <c r="J129" s="1" t="str">
        <f>VLOOKUP(Artifacts[[#This Row],[SOP]],SOP[#All],2,FALSE)</f>
        <v>Sprintplanering</v>
      </c>
    </row>
    <row r="130" spans="1:10" hidden="1" x14ac:dyDescent="0.2">
      <c r="A130" s="1" t="s">
        <v>34</v>
      </c>
      <c r="B130" s="1" t="s">
        <v>80</v>
      </c>
      <c r="C130" s="1" t="s">
        <v>9</v>
      </c>
      <c r="D130" s="1">
        <f>COUNTIFS(Artifacts[Artifact],Artifacts[[#This Row],[Artifact]],Artifacts[Input or output],"output")</f>
        <v>2</v>
      </c>
      <c r="E130" s="1" t="str" cm="1">
        <f t="array" ref="E130">VLOOKUP(Artifacts[[#This Row],[SOP]],_xlfn._xlws.FILTER(Roles[],Roles[Type of RACI]="R"),2,FALSE)</f>
        <v>Scrum Master</v>
      </c>
      <c r="F130" s="1" t="str" cm="1">
        <f t="array" ref="F130">VLOOKUP(Artifacts[[#This Row],[SOP]],_xlfn._xlws.FILTER(Roles[],Roles[Type of RACI]="A"),2,FALSE)</f>
        <v>Produktägare</v>
      </c>
      <c r="G130" s="1" t="str" cm="1">
        <f t="array" ref="G130">VLOOKUP(Artifacts[[#This Row],[SOP]],_xlfn._xlws.FILTER(Roles[],Roles[Type of RACI]="C"),2,FALSE)</f>
        <v>Utvecklare</v>
      </c>
      <c r="H130" s="1" t="str" cm="1">
        <f t="array" ref="H130">VLOOKUP(Artifacts[[#This Row],[SOP]],_xlfn._xlws.FILTER(Roles[],Roles[Type of RACI]="I"),2,FALSE)</f>
        <v>Business Analyst</v>
      </c>
      <c r="I130" s="1" t="str">
        <f>VLOOKUP(Artifacts[[#This Row],[SOP]],SOP[#All],3,FALSE)</f>
        <v>Leverans</v>
      </c>
      <c r="J130" s="1" t="str">
        <f>VLOOKUP(Artifacts[[#This Row],[SOP]],SOP[#All],2,FALSE)</f>
        <v>Sprintplanering</v>
      </c>
    </row>
    <row r="131" spans="1:10" x14ac:dyDescent="0.2">
      <c r="A131" s="1" t="s">
        <v>82</v>
      </c>
      <c r="B131" s="1" t="s">
        <v>80</v>
      </c>
      <c r="C131" s="1" t="s">
        <v>11</v>
      </c>
      <c r="D131" s="1">
        <f>COUNTIFS(Artifacts[Artifact],Artifacts[[#This Row],[Artifact]],Artifacts[Input or output],"output")</f>
        <v>1</v>
      </c>
      <c r="E131" s="1" t="str" cm="1">
        <f t="array" ref="E131">VLOOKUP(Artifacts[[#This Row],[SOP]],_xlfn._xlws.FILTER(Roles[],Roles[Type of RACI]="R"),2,FALSE)</f>
        <v>Scrum Master</v>
      </c>
      <c r="F131" s="1" t="str" cm="1">
        <f t="array" ref="F131">VLOOKUP(Artifacts[[#This Row],[SOP]],_xlfn._xlws.FILTER(Roles[],Roles[Type of RACI]="A"),2,FALSE)</f>
        <v>Produktägare</v>
      </c>
      <c r="G131" s="1" t="str" cm="1">
        <f t="array" ref="G131">VLOOKUP(Artifacts[[#This Row],[SOP]],_xlfn._xlws.FILTER(Roles[],Roles[Type of RACI]="C"),2,FALSE)</f>
        <v>Utvecklare</v>
      </c>
      <c r="H131" s="1" t="str" cm="1">
        <f t="array" ref="H131">VLOOKUP(Artifacts[[#This Row],[SOP]],_xlfn._xlws.FILTER(Roles[],Roles[Type of RACI]="I"),2,FALSE)</f>
        <v>Business Analyst</v>
      </c>
      <c r="I131" s="1" t="str">
        <f>VLOOKUP(Artifacts[[#This Row],[SOP]],SOP[#All],3,FALSE)</f>
        <v>Leverans</v>
      </c>
      <c r="J131" s="1" t="str">
        <f>VLOOKUP(Artifacts[[#This Row],[SOP]],SOP[#All],2,FALSE)</f>
        <v>Sprintplanering</v>
      </c>
    </row>
    <row r="132" spans="1:10" x14ac:dyDescent="0.2">
      <c r="A132" s="1" t="s">
        <v>84</v>
      </c>
      <c r="B132" s="1" t="s">
        <v>80</v>
      </c>
      <c r="C132" s="1" t="s">
        <v>11</v>
      </c>
      <c r="D132" s="1">
        <f>COUNTIFS(Artifacts[Artifact],Artifacts[[#This Row],[Artifact]],Artifacts[Input or output],"output")</f>
        <v>1</v>
      </c>
      <c r="E132" s="1" t="str" cm="1">
        <f t="array" ref="E132">VLOOKUP(Artifacts[[#This Row],[SOP]],_xlfn._xlws.FILTER(Roles[],Roles[Type of RACI]="R"),2,FALSE)</f>
        <v>Scrum Master</v>
      </c>
      <c r="F132" s="1" t="str" cm="1">
        <f t="array" ref="F132">VLOOKUP(Artifacts[[#This Row],[SOP]],_xlfn._xlws.FILTER(Roles[],Roles[Type of RACI]="A"),2,FALSE)</f>
        <v>Produktägare</v>
      </c>
      <c r="G132" s="1" t="str" cm="1">
        <f t="array" ref="G132">VLOOKUP(Artifacts[[#This Row],[SOP]],_xlfn._xlws.FILTER(Roles[],Roles[Type of RACI]="C"),2,FALSE)</f>
        <v>Utvecklare</v>
      </c>
      <c r="H132" s="1" t="str" cm="1">
        <f t="array" ref="H132">VLOOKUP(Artifacts[[#This Row],[SOP]],_xlfn._xlws.FILTER(Roles[],Roles[Type of RACI]="I"),2,FALSE)</f>
        <v>Business Analyst</v>
      </c>
      <c r="I132" s="1" t="str">
        <f>VLOOKUP(Artifacts[[#This Row],[SOP]],SOP[#All],3,FALSE)</f>
        <v>Leverans</v>
      </c>
      <c r="J132" s="1" t="str">
        <f>VLOOKUP(Artifacts[[#This Row],[SOP]],SOP[#All],2,FALSE)</f>
        <v>Sprintplanering</v>
      </c>
    </row>
    <row r="133" spans="1:10" hidden="1" x14ac:dyDescent="0.2">
      <c r="A133" s="1" t="s">
        <v>84</v>
      </c>
      <c r="B133" s="1" t="s">
        <v>85</v>
      </c>
      <c r="C133" s="1" t="s">
        <v>9</v>
      </c>
      <c r="D133" s="1">
        <f>COUNTIFS(Artifacts[Artifact],Artifacts[[#This Row],[Artifact]],Artifacts[Input or output],"output")</f>
        <v>1</v>
      </c>
      <c r="E133" s="1" t="str" cm="1">
        <f t="array" ref="E133">VLOOKUP(Artifacts[[#This Row],[SOP]],_xlfn._xlws.FILTER(Roles[],Roles[Type of RACI]="R"),2,FALSE)</f>
        <v>Utvecklare</v>
      </c>
      <c r="F133" s="1" t="str" cm="1">
        <f t="array" ref="F133">VLOOKUP(Artifacts[[#This Row],[SOP]],_xlfn._xlws.FILTER(Roles[],Roles[Type of RACI]="A"),2,FALSE)</f>
        <v>Teknisk Lead</v>
      </c>
      <c r="G133" s="1" t="str" cm="1">
        <f t="array" ref="G133">VLOOKUP(Artifacts[[#This Row],[SOP]],_xlfn._xlws.FILTER(Roles[],Roles[Type of RACI]="C"),2,FALSE)</f>
        <v>Lösningsarkitekt</v>
      </c>
      <c r="H133" s="1" t="str" cm="1">
        <f t="array" ref="H133">VLOOKUP(Artifacts[[#This Row],[SOP]],_xlfn._xlws.FILTER(Roles[],Roles[Type of RACI]="I"),2,FALSE)</f>
        <v>Produktägare</v>
      </c>
      <c r="I133" s="1" t="str">
        <f>VLOOKUP(Artifacts[[#This Row],[SOP]],SOP[#All],3,FALSE)</f>
        <v>Leverans</v>
      </c>
      <c r="J133" s="1" t="str">
        <f>VLOOKUP(Artifacts[[#This Row],[SOP]],SOP[#All],2,FALSE)</f>
        <v>Utveckling</v>
      </c>
    </row>
    <row r="134" spans="1:10" hidden="1" x14ac:dyDescent="0.2">
      <c r="A134" s="1" t="s">
        <v>41</v>
      </c>
      <c r="B134" s="1" t="s">
        <v>85</v>
      </c>
      <c r="C134" s="1" t="s">
        <v>9</v>
      </c>
      <c r="D134" s="1">
        <f>COUNTIFS(Artifacts[Artifact],Artifacts[[#This Row],[Artifact]],Artifacts[Input or output],"output")</f>
        <v>2</v>
      </c>
      <c r="E134" s="1" t="str" cm="1">
        <f t="array" ref="E134">VLOOKUP(Artifacts[[#This Row],[SOP]],_xlfn._xlws.FILTER(Roles[],Roles[Type of RACI]="R"),2,FALSE)</f>
        <v>Utvecklare</v>
      </c>
      <c r="F134" s="1" t="str" cm="1">
        <f t="array" ref="F134">VLOOKUP(Artifacts[[#This Row],[SOP]],_xlfn._xlws.FILTER(Roles[],Roles[Type of RACI]="A"),2,FALSE)</f>
        <v>Teknisk Lead</v>
      </c>
      <c r="G134" s="1" t="str" cm="1">
        <f t="array" ref="G134">VLOOKUP(Artifacts[[#This Row],[SOP]],_xlfn._xlws.FILTER(Roles[],Roles[Type of RACI]="C"),2,FALSE)</f>
        <v>Lösningsarkitekt</v>
      </c>
      <c r="H134" s="1" t="str" cm="1">
        <f t="array" ref="H134">VLOOKUP(Artifacts[[#This Row],[SOP]],_xlfn._xlws.FILTER(Roles[],Roles[Type of RACI]="I"),2,FALSE)</f>
        <v>Produktägare</v>
      </c>
      <c r="I134" s="1" t="str">
        <f>VLOOKUP(Artifacts[[#This Row],[SOP]],SOP[#All],3,FALSE)</f>
        <v>Leverans</v>
      </c>
      <c r="J134" s="1" t="str">
        <f>VLOOKUP(Artifacts[[#This Row],[SOP]],SOP[#All],2,FALSE)</f>
        <v>Utveckling</v>
      </c>
    </row>
    <row r="135" spans="1:10" hidden="1" x14ac:dyDescent="0.2">
      <c r="A135" s="1" t="s">
        <v>41</v>
      </c>
      <c r="B135" s="1" t="s">
        <v>85</v>
      </c>
      <c r="C135" s="1" t="s">
        <v>9</v>
      </c>
      <c r="D135" s="1">
        <f>COUNTIFS(Artifacts[Artifact],Artifacts[[#This Row],[Artifact]],Artifacts[Input or output],"output")</f>
        <v>2</v>
      </c>
      <c r="E135" s="1" t="str" cm="1">
        <f t="array" ref="E135">VLOOKUP(Artifacts[[#This Row],[SOP]],_xlfn._xlws.FILTER(Roles[],Roles[Type of RACI]="R"),2,FALSE)</f>
        <v>Utvecklare</v>
      </c>
      <c r="F135" s="1" t="str" cm="1">
        <f t="array" ref="F135">VLOOKUP(Artifacts[[#This Row],[SOP]],_xlfn._xlws.FILTER(Roles[],Roles[Type of RACI]="A"),2,FALSE)</f>
        <v>Teknisk Lead</v>
      </c>
      <c r="G135" s="1" t="str" cm="1">
        <f t="array" ref="G135">VLOOKUP(Artifacts[[#This Row],[SOP]],_xlfn._xlws.FILTER(Roles[],Roles[Type of RACI]="C"),2,FALSE)</f>
        <v>Lösningsarkitekt</v>
      </c>
      <c r="H135" s="1" t="str" cm="1">
        <f t="array" ref="H135">VLOOKUP(Artifacts[[#This Row],[SOP]],_xlfn._xlws.FILTER(Roles[],Roles[Type of RACI]="I"),2,FALSE)</f>
        <v>Produktägare</v>
      </c>
      <c r="I135" s="1" t="str">
        <f>VLOOKUP(Artifacts[[#This Row],[SOP]],SOP[#All],3,FALSE)</f>
        <v>Leverans</v>
      </c>
      <c r="J135" s="1" t="str">
        <f>VLOOKUP(Artifacts[[#This Row],[SOP]],SOP[#All],2,FALSE)</f>
        <v>Utveckling</v>
      </c>
    </row>
    <row r="136" spans="1:10" x14ac:dyDescent="0.2">
      <c r="A136" s="1" t="s">
        <v>86</v>
      </c>
      <c r="B136" s="1" t="s">
        <v>85</v>
      </c>
      <c r="C136" s="1" t="s">
        <v>11</v>
      </c>
      <c r="D136" s="1">
        <f>COUNTIFS(Artifacts[Artifact],Artifacts[[#This Row],[Artifact]],Artifacts[Input or output],"output")</f>
        <v>2</v>
      </c>
      <c r="E136" s="1" t="str" cm="1">
        <f t="array" ref="E136">VLOOKUP(Artifacts[[#This Row],[SOP]],_xlfn._xlws.FILTER(Roles[],Roles[Type of RACI]="R"),2,FALSE)</f>
        <v>Utvecklare</v>
      </c>
      <c r="F136" s="1" t="str" cm="1">
        <f t="array" ref="F136">VLOOKUP(Artifacts[[#This Row],[SOP]],_xlfn._xlws.FILTER(Roles[],Roles[Type of RACI]="A"),2,FALSE)</f>
        <v>Teknisk Lead</v>
      </c>
      <c r="G136" s="1" t="str" cm="1">
        <f t="array" ref="G136">VLOOKUP(Artifacts[[#This Row],[SOP]],_xlfn._xlws.FILTER(Roles[],Roles[Type of RACI]="C"),2,FALSE)</f>
        <v>Lösningsarkitekt</v>
      </c>
      <c r="H136" s="1" t="str" cm="1">
        <f t="array" ref="H136">VLOOKUP(Artifacts[[#This Row],[SOP]],_xlfn._xlws.FILTER(Roles[],Roles[Type of RACI]="I"),2,FALSE)</f>
        <v>Produktägare</v>
      </c>
      <c r="I136" s="1" t="str">
        <f>VLOOKUP(Artifacts[[#This Row],[SOP]],SOP[#All],3,FALSE)</f>
        <v>Leverans</v>
      </c>
      <c r="J136" s="1" t="str">
        <f>VLOOKUP(Artifacts[[#This Row],[SOP]],SOP[#All],2,FALSE)</f>
        <v>Utveckling</v>
      </c>
    </row>
    <row r="137" spans="1:10" x14ac:dyDescent="0.2">
      <c r="A137" s="1" t="s">
        <v>88</v>
      </c>
      <c r="B137" s="1" t="s">
        <v>85</v>
      </c>
      <c r="C137" s="1" t="s">
        <v>11</v>
      </c>
      <c r="D137" s="1">
        <f>COUNTIFS(Artifacts[Artifact],Artifacts[[#This Row],[Artifact]],Artifacts[Input or output],"output")</f>
        <v>1</v>
      </c>
      <c r="E137" s="1" t="str" cm="1">
        <f t="array" ref="E137">VLOOKUP(Artifacts[[#This Row],[SOP]],_xlfn._xlws.FILTER(Roles[],Roles[Type of RACI]="R"),2,FALSE)</f>
        <v>Utvecklare</v>
      </c>
      <c r="F137" s="1" t="str" cm="1">
        <f t="array" ref="F137">VLOOKUP(Artifacts[[#This Row],[SOP]],_xlfn._xlws.FILTER(Roles[],Roles[Type of RACI]="A"),2,FALSE)</f>
        <v>Teknisk Lead</v>
      </c>
      <c r="G137" s="1" t="str" cm="1">
        <f t="array" ref="G137">VLOOKUP(Artifacts[[#This Row],[SOP]],_xlfn._xlws.FILTER(Roles[],Roles[Type of RACI]="C"),2,FALSE)</f>
        <v>Lösningsarkitekt</v>
      </c>
      <c r="H137" s="1" t="str" cm="1">
        <f t="array" ref="H137">VLOOKUP(Artifacts[[#This Row],[SOP]],_xlfn._xlws.FILTER(Roles[],Roles[Type of RACI]="I"),2,FALSE)</f>
        <v>Produktägare</v>
      </c>
      <c r="I137" s="1" t="str">
        <f>VLOOKUP(Artifacts[[#This Row],[SOP]],SOP[#All],3,FALSE)</f>
        <v>Leverans</v>
      </c>
      <c r="J137" s="1" t="str">
        <f>VLOOKUP(Artifacts[[#This Row],[SOP]],SOP[#All],2,FALSE)</f>
        <v>Utveckling</v>
      </c>
    </row>
    <row r="138" spans="1:10" hidden="1" x14ac:dyDescent="0.2">
      <c r="A138" s="1" t="s">
        <v>88</v>
      </c>
      <c r="B138" s="1" t="s">
        <v>89</v>
      </c>
      <c r="C138" s="1" t="s">
        <v>9</v>
      </c>
      <c r="D138" s="1">
        <f>COUNTIFS(Artifacts[Artifact],Artifacts[[#This Row],[Artifact]],Artifacts[Input or output],"output")</f>
        <v>1</v>
      </c>
      <c r="E138" s="1" t="str" cm="1">
        <f t="array" ref="E138">VLOOKUP(Artifacts[[#This Row],[SOP]],_xlfn._xlws.FILTER(Roles[],Roles[Type of RACI]="R"),2,FALSE)</f>
        <v>Utvecklare</v>
      </c>
      <c r="F138" s="1" t="str" cm="1">
        <f t="array" ref="F138">VLOOKUP(Artifacts[[#This Row],[SOP]],_xlfn._xlws.FILTER(Roles[],Roles[Type of RACI]="A"),2,FALSE)</f>
        <v>Teknisk Lead</v>
      </c>
      <c r="G138" s="1" t="str" cm="1">
        <f t="array" ref="G138">VLOOKUP(Artifacts[[#This Row],[SOP]],_xlfn._xlws.FILTER(Roles[],Roles[Type of RACI]="C"),2,FALSE)</f>
        <v>Lösningsarkitekt</v>
      </c>
      <c r="H138" s="1" t="str" cm="1">
        <f t="array" ref="H138">VLOOKUP(Artifacts[[#This Row],[SOP]],_xlfn._xlws.FILTER(Roles[],Roles[Type of RACI]="I"),2,FALSE)</f>
        <v>Produktägare</v>
      </c>
      <c r="I138" s="1" t="str">
        <f>VLOOKUP(Artifacts[[#This Row],[SOP]],SOP[#All],3,FALSE)</f>
        <v>Leverans</v>
      </c>
      <c r="J138" s="1" t="str">
        <f>VLOOKUP(Artifacts[[#This Row],[SOP]],SOP[#All],2,FALSE)</f>
        <v>Kodgranskning</v>
      </c>
    </row>
    <row r="139" spans="1:10" hidden="1" x14ac:dyDescent="0.2">
      <c r="A139" s="1" t="s">
        <v>41</v>
      </c>
      <c r="B139" s="1" t="s">
        <v>89</v>
      </c>
      <c r="C139" s="1" t="s">
        <v>9</v>
      </c>
      <c r="D139" s="1">
        <f>COUNTIFS(Artifacts[Artifact],Artifacts[[#This Row],[Artifact]],Artifacts[Input or output],"output")</f>
        <v>2</v>
      </c>
      <c r="E139" s="1" t="str" cm="1">
        <f t="array" ref="E139">VLOOKUP(Artifacts[[#This Row],[SOP]],_xlfn._xlws.FILTER(Roles[],Roles[Type of RACI]="R"),2,FALSE)</f>
        <v>Utvecklare</v>
      </c>
      <c r="F139" s="1" t="str" cm="1">
        <f t="array" ref="F139">VLOOKUP(Artifacts[[#This Row],[SOP]],_xlfn._xlws.FILTER(Roles[],Roles[Type of RACI]="A"),2,FALSE)</f>
        <v>Teknisk Lead</v>
      </c>
      <c r="G139" s="1" t="str" cm="1">
        <f t="array" ref="G139">VLOOKUP(Artifacts[[#This Row],[SOP]],_xlfn._xlws.FILTER(Roles[],Roles[Type of RACI]="C"),2,FALSE)</f>
        <v>Lösningsarkitekt</v>
      </c>
      <c r="H139" s="1" t="str" cm="1">
        <f t="array" ref="H139">VLOOKUP(Artifacts[[#This Row],[SOP]],_xlfn._xlws.FILTER(Roles[],Roles[Type of RACI]="I"),2,FALSE)</f>
        <v>Produktägare</v>
      </c>
      <c r="I139" s="1" t="str">
        <f>VLOOKUP(Artifacts[[#This Row],[SOP]],SOP[#All],3,FALSE)</f>
        <v>Leverans</v>
      </c>
      <c r="J139" s="1" t="str">
        <f>VLOOKUP(Artifacts[[#This Row],[SOP]],SOP[#All],2,FALSE)</f>
        <v>Kodgranskning</v>
      </c>
    </row>
    <row r="140" spans="1:10" hidden="1" x14ac:dyDescent="0.2">
      <c r="A140" s="1" t="s">
        <v>41</v>
      </c>
      <c r="B140" s="1" t="s">
        <v>89</v>
      </c>
      <c r="C140" s="1" t="s">
        <v>9</v>
      </c>
      <c r="D140" s="1">
        <f>COUNTIFS(Artifacts[Artifact],Artifacts[[#This Row],[Artifact]],Artifacts[Input or output],"output")</f>
        <v>2</v>
      </c>
      <c r="E140" s="1" t="str" cm="1">
        <f t="array" ref="E140">VLOOKUP(Artifacts[[#This Row],[SOP]],_xlfn._xlws.FILTER(Roles[],Roles[Type of RACI]="R"),2,FALSE)</f>
        <v>Utvecklare</v>
      </c>
      <c r="F140" s="1" t="str" cm="1">
        <f t="array" ref="F140">VLOOKUP(Artifacts[[#This Row],[SOP]],_xlfn._xlws.FILTER(Roles[],Roles[Type of RACI]="A"),2,FALSE)</f>
        <v>Teknisk Lead</v>
      </c>
      <c r="G140" s="1" t="str" cm="1">
        <f t="array" ref="G140">VLOOKUP(Artifacts[[#This Row],[SOP]],_xlfn._xlws.FILTER(Roles[],Roles[Type of RACI]="C"),2,FALSE)</f>
        <v>Lösningsarkitekt</v>
      </c>
      <c r="H140" s="1" t="str" cm="1">
        <f t="array" ref="H140">VLOOKUP(Artifacts[[#This Row],[SOP]],_xlfn._xlws.FILTER(Roles[],Roles[Type of RACI]="I"),2,FALSE)</f>
        <v>Produktägare</v>
      </c>
      <c r="I140" s="1" t="str">
        <f>VLOOKUP(Artifacts[[#This Row],[SOP]],SOP[#All],3,FALSE)</f>
        <v>Leverans</v>
      </c>
      <c r="J140" s="1" t="str">
        <f>VLOOKUP(Artifacts[[#This Row],[SOP]],SOP[#All],2,FALSE)</f>
        <v>Kodgranskning</v>
      </c>
    </row>
    <row r="141" spans="1:10" x14ac:dyDescent="0.2">
      <c r="A141" s="1" t="s">
        <v>90</v>
      </c>
      <c r="B141" s="1" t="s">
        <v>89</v>
      </c>
      <c r="C141" s="1" t="s">
        <v>11</v>
      </c>
      <c r="D141" s="1">
        <f>COUNTIFS(Artifacts[Artifact],Artifacts[[#This Row],[Artifact]],Artifacts[Input or output],"output")</f>
        <v>3</v>
      </c>
      <c r="E141" s="1" t="str" cm="1">
        <f t="array" ref="E141">VLOOKUP(Artifacts[[#This Row],[SOP]],_xlfn._xlws.FILTER(Roles[],Roles[Type of RACI]="R"),2,FALSE)</f>
        <v>Utvecklare</v>
      </c>
      <c r="F141" s="1" t="str" cm="1">
        <f t="array" ref="F141">VLOOKUP(Artifacts[[#This Row],[SOP]],_xlfn._xlws.FILTER(Roles[],Roles[Type of RACI]="A"),2,FALSE)</f>
        <v>Teknisk Lead</v>
      </c>
      <c r="G141" s="1" t="str" cm="1">
        <f t="array" ref="G141">VLOOKUP(Artifacts[[#This Row],[SOP]],_xlfn._xlws.FILTER(Roles[],Roles[Type of RACI]="C"),2,FALSE)</f>
        <v>Lösningsarkitekt</v>
      </c>
      <c r="H141" s="1" t="str" cm="1">
        <f t="array" ref="H141">VLOOKUP(Artifacts[[#This Row],[SOP]],_xlfn._xlws.FILTER(Roles[],Roles[Type of RACI]="I"),2,FALSE)</f>
        <v>Produktägare</v>
      </c>
      <c r="I141" s="1" t="str">
        <f>VLOOKUP(Artifacts[[#This Row],[SOP]],SOP[#All],3,FALSE)</f>
        <v>Leverans</v>
      </c>
      <c r="J141" s="1" t="str">
        <f>VLOOKUP(Artifacts[[#This Row],[SOP]],SOP[#All],2,FALSE)</f>
        <v>Kodgranskning</v>
      </c>
    </row>
    <row r="142" spans="1:10" x14ac:dyDescent="0.2">
      <c r="A142" s="1" t="s">
        <v>91</v>
      </c>
      <c r="B142" s="1" t="s">
        <v>89</v>
      </c>
      <c r="C142" s="1" t="s">
        <v>11</v>
      </c>
      <c r="D142" s="1">
        <f>COUNTIFS(Artifacts[Artifact],Artifacts[[#This Row],[Artifact]],Artifacts[Input or output],"output")</f>
        <v>1</v>
      </c>
      <c r="E142" s="1" t="str" cm="1">
        <f t="array" ref="E142">VLOOKUP(Artifacts[[#This Row],[SOP]],_xlfn._xlws.FILTER(Roles[],Roles[Type of RACI]="R"),2,FALSE)</f>
        <v>Utvecklare</v>
      </c>
      <c r="F142" s="1" t="str" cm="1">
        <f t="array" ref="F142">VLOOKUP(Artifacts[[#This Row],[SOP]],_xlfn._xlws.FILTER(Roles[],Roles[Type of RACI]="A"),2,FALSE)</f>
        <v>Teknisk Lead</v>
      </c>
      <c r="G142" s="1" t="str" cm="1">
        <f t="array" ref="G142">VLOOKUP(Artifacts[[#This Row],[SOP]],_xlfn._xlws.FILTER(Roles[],Roles[Type of RACI]="C"),2,FALSE)</f>
        <v>Lösningsarkitekt</v>
      </c>
      <c r="H142" s="1" t="str" cm="1">
        <f t="array" ref="H142">VLOOKUP(Artifacts[[#This Row],[SOP]],_xlfn._xlws.FILTER(Roles[],Roles[Type of RACI]="I"),2,FALSE)</f>
        <v>Produktägare</v>
      </c>
      <c r="I142" s="1" t="str">
        <f>VLOOKUP(Artifacts[[#This Row],[SOP]],SOP[#All],3,FALSE)</f>
        <v>Leverans</v>
      </c>
      <c r="J142" s="1" t="str">
        <f>VLOOKUP(Artifacts[[#This Row],[SOP]],SOP[#All],2,FALSE)</f>
        <v>Kodgranskning</v>
      </c>
    </row>
    <row r="143" spans="1:10" hidden="1" x14ac:dyDescent="0.2">
      <c r="A143" s="1" t="s">
        <v>90</v>
      </c>
      <c r="B143" s="1" t="s">
        <v>92</v>
      </c>
      <c r="C143" s="1" t="s">
        <v>9</v>
      </c>
      <c r="D143" s="1">
        <f>COUNTIFS(Artifacts[Artifact],Artifacts[[#This Row],[Artifact]],Artifacts[Input or output],"output")</f>
        <v>3</v>
      </c>
      <c r="E143" s="1" t="str" cm="1">
        <f t="array" ref="E143">VLOOKUP(Artifacts[[#This Row],[SOP]],_xlfn._xlws.FILTER(Roles[],Roles[Type of RACI]="R"),2,FALSE)</f>
        <v>Testare</v>
      </c>
      <c r="F143" s="1" t="str" cm="1">
        <f t="array" ref="F143">VLOOKUP(Artifacts[[#This Row],[SOP]],_xlfn._xlws.FILTER(Roles[],Roles[Type of RACI]="A"),2,FALSE)</f>
        <v>Teknisk Lead</v>
      </c>
      <c r="G143" s="1" t="str" cm="1">
        <f t="array" ref="G143">VLOOKUP(Artifacts[[#This Row],[SOP]],_xlfn._xlws.FILTER(Roles[],Roles[Type of RACI]="C"),2,FALSE)</f>
        <v>Utvecklare</v>
      </c>
      <c r="H143" s="1" t="str" cm="1">
        <f t="array" ref="H143">VLOOKUP(Artifacts[[#This Row],[SOP]],_xlfn._xlws.FILTER(Roles[],Roles[Type of RACI]="I"),2,FALSE)</f>
        <v>Produktägare</v>
      </c>
      <c r="I143" s="1" t="str">
        <f>VLOOKUP(Artifacts[[#This Row],[SOP]],SOP[#All],3,FALSE)</f>
        <v>Leverans</v>
      </c>
      <c r="J143" s="1" t="str">
        <f>VLOOKUP(Artifacts[[#This Row],[SOP]],SOP[#All],2,FALSE)</f>
        <v>Test</v>
      </c>
    </row>
    <row r="144" spans="1:10" hidden="1" x14ac:dyDescent="0.2">
      <c r="A144" s="1" t="s">
        <v>21</v>
      </c>
      <c r="B144" s="1" t="s">
        <v>92</v>
      </c>
      <c r="C144" s="1" t="s">
        <v>9</v>
      </c>
      <c r="D144" s="1">
        <f>COUNTIFS(Artifacts[Artifact],Artifacts[[#This Row],[Artifact]],Artifacts[Input or output],"output")</f>
        <v>1</v>
      </c>
      <c r="E144" s="1" t="str" cm="1">
        <f t="array" ref="E144">VLOOKUP(Artifacts[[#This Row],[SOP]],_xlfn._xlws.FILTER(Roles[],Roles[Type of RACI]="R"),2,FALSE)</f>
        <v>Testare</v>
      </c>
      <c r="F144" s="1" t="str" cm="1">
        <f t="array" ref="F144">VLOOKUP(Artifacts[[#This Row],[SOP]],_xlfn._xlws.FILTER(Roles[],Roles[Type of RACI]="A"),2,FALSE)</f>
        <v>Teknisk Lead</v>
      </c>
      <c r="G144" s="1" t="str" cm="1">
        <f t="array" ref="G144">VLOOKUP(Artifacts[[#This Row],[SOP]],_xlfn._xlws.FILTER(Roles[],Roles[Type of RACI]="C"),2,FALSE)</f>
        <v>Utvecklare</v>
      </c>
      <c r="H144" s="1" t="str" cm="1">
        <f t="array" ref="H144">VLOOKUP(Artifacts[[#This Row],[SOP]],_xlfn._xlws.FILTER(Roles[],Roles[Type of RACI]="I"),2,FALSE)</f>
        <v>Produktägare</v>
      </c>
      <c r="I144" s="1" t="str">
        <f>VLOOKUP(Artifacts[[#This Row],[SOP]],SOP[#All],3,FALSE)</f>
        <v>Leverans</v>
      </c>
      <c r="J144" s="1" t="str">
        <f>VLOOKUP(Artifacts[[#This Row],[SOP]],SOP[#All],2,FALSE)</f>
        <v>Test</v>
      </c>
    </row>
    <row r="145" spans="1:10" hidden="1" x14ac:dyDescent="0.2">
      <c r="A145" s="1" t="s">
        <v>93</v>
      </c>
      <c r="B145" s="1" t="s">
        <v>92</v>
      </c>
      <c r="C145" s="1" t="s">
        <v>9</v>
      </c>
      <c r="D145" s="1">
        <f>COUNTIFS(Artifacts[Artifact],Artifacts[[#This Row],[Artifact]],Artifacts[Input or output],"output")</f>
        <v>0</v>
      </c>
      <c r="E145" s="1" t="str" cm="1">
        <f t="array" ref="E145">VLOOKUP(Artifacts[[#This Row],[SOP]],_xlfn._xlws.FILTER(Roles[],Roles[Type of RACI]="R"),2,FALSE)</f>
        <v>Testare</v>
      </c>
      <c r="F145" s="1" t="str" cm="1">
        <f t="array" ref="F145">VLOOKUP(Artifacts[[#This Row],[SOP]],_xlfn._xlws.FILTER(Roles[],Roles[Type of RACI]="A"),2,FALSE)</f>
        <v>Teknisk Lead</v>
      </c>
      <c r="G145" s="1" t="str" cm="1">
        <f t="array" ref="G145">VLOOKUP(Artifacts[[#This Row],[SOP]],_xlfn._xlws.FILTER(Roles[],Roles[Type of RACI]="C"),2,FALSE)</f>
        <v>Utvecklare</v>
      </c>
      <c r="H145" s="1" t="str" cm="1">
        <f t="array" ref="H145">VLOOKUP(Artifacts[[#This Row],[SOP]],_xlfn._xlws.FILTER(Roles[],Roles[Type of RACI]="I"),2,FALSE)</f>
        <v>Produktägare</v>
      </c>
      <c r="I145" s="1" t="str">
        <f>VLOOKUP(Artifacts[[#This Row],[SOP]],SOP[#All],3,FALSE)</f>
        <v>Leverans</v>
      </c>
      <c r="J145" s="1" t="str">
        <f>VLOOKUP(Artifacts[[#This Row],[SOP]],SOP[#All],2,FALSE)</f>
        <v>Test</v>
      </c>
    </row>
    <row r="146" spans="1:10" x14ac:dyDescent="0.2">
      <c r="A146" s="1" t="s">
        <v>94</v>
      </c>
      <c r="B146" s="1" t="s">
        <v>92</v>
      </c>
      <c r="C146" s="1" t="s">
        <v>11</v>
      </c>
      <c r="D146" s="1">
        <f>COUNTIFS(Artifacts[Artifact],Artifacts[[#This Row],[Artifact]],Artifacts[Input or output],"output")</f>
        <v>1</v>
      </c>
      <c r="E146" s="1" t="str" cm="1">
        <f t="array" ref="E146">VLOOKUP(Artifacts[[#This Row],[SOP]],_xlfn._xlws.FILTER(Roles[],Roles[Type of RACI]="R"),2,FALSE)</f>
        <v>Testare</v>
      </c>
      <c r="F146" s="1" t="str" cm="1">
        <f t="array" ref="F146">VLOOKUP(Artifacts[[#This Row],[SOP]],_xlfn._xlws.FILTER(Roles[],Roles[Type of RACI]="A"),2,FALSE)</f>
        <v>Teknisk Lead</v>
      </c>
      <c r="G146" s="1" t="str" cm="1">
        <f t="array" ref="G146">VLOOKUP(Artifacts[[#This Row],[SOP]],_xlfn._xlws.FILTER(Roles[],Roles[Type of RACI]="C"),2,FALSE)</f>
        <v>Utvecklare</v>
      </c>
      <c r="H146" s="1" t="str" cm="1">
        <f t="array" ref="H146">VLOOKUP(Artifacts[[#This Row],[SOP]],_xlfn._xlws.FILTER(Roles[],Roles[Type of RACI]="I"),2,FALSE)</f>
        <v>Produktägare</v>
      </c>
      <c r="I146" s="1" t="str">
        <f>VLOOKUP(Artifacts[[#This Row],[SOP]],SOP[#All],3,FALSE)</f>
        <v>Leverans</v>
      </c>
      <c r="J146" s="1" t="str">
        <f>VLOOKUP(Artifacts[[#This Row],[SOP]],SOP[#All],2,FALSE)</f>
        <v>Test</v>
      </c>
    </row>
    <row r="147" spans="1:10" x14ac:dyDescent="0.2">
      <c r="A147" s="1" t="s">
        <v>90</v>
      </c>
      <c r="B147" s="1" t="s">
        <v>92</v>
      </c>
      <c r="C147" s="1" t="s">
        <v>11</v>
      </c>
      <c r="D147" s="1">
        <f>COUNTIFS(Artifacts[Artifact],Artifacts[[#This Row],[Artifact]],Artifacts[Input or output],"output")</f>
        <v>3</v>
      </c>
      <c r="E147" s="1" t="str" cm="1">
        <f t="array" ref="E147">VLOOKUP(Artifacts[[#This Row],[SOP]],_xlfn._xlws.FILTER(Roles[],Roles[Type of RACI]="R"),2,FALSE)</f>
        <v>Testare</v>
      </c>
      <c r="F147" s="1" t="str" cm="1">
        <f t="array" ref="F147">VLOOKUP(Artifacts[[#This Row],[SOP]],_xlfn._xlws.FILTER(Roles[],Roles[Type of RACI]="A"),2,FALSE)</f>
        <v>Teknisk Lead</v>
      </c>
      <c r="G147" s="1" t="str" cm="1">
        <f t="array" ref="G147">VLOOKUP(Artifacts[[#This Row],[SOP]],_xlfn._xlws.FILTER(Roles[],Roles[Type of RACI]="C"),2,FALSE)</f>
        <v>Utvecklare</v>
      </c>
      <c r="H147" s="1" t="str" cm="1">
        <f t="array" ref="H147">VLOOKUP(Artifacts[[#This Row],[SOP]],_xlfn._xlws.FILTER(Roles[],Roles[Type of RACI]="I"),2,FALSE)</f>
        <v>Produktägare</v>
      </c>
      <c r="I147" s="1" t="str">
        <f>VLOOKUP(Artifacts[[#This Row],[SOP]],SOP[#All],3,FALSE)</f>
        <v>Leverans</v>
      </c>
      <c r="J147" s="1" t="str">
        <f>VLOOKUP(Artifacts[[#This Row],[SOP]],SOP[#All],2,FALSE)</f>
        <v>Test</v>
      </c>
    </row>
    <row r="148" spans="1:10" hidden="1" x14ac:dyDescent="0.2">
      <c r="A148" s="1" t="s">
        <v>90</v>
      </c>
      <c r="B148" s="1" t="s">
        <v>96</v>
      </c>
      <c r="C148" s="1" t="s">
        <v>9</v>
      </c>
      <c r="D148" s="1">
        <f>COUNTIFS(Artifacts[Artifact],Artifacts[[#This Row],[Artifact]],Artifacts[Input or output],"output")</f>
        <v>3</v>
      </c>
      <c r="E148" s="1" t="str" cm="1">
        <f t="array" ref="E148">VLOOKUP(Artifacts[[#This Row],[SOP]],_xlfn._xlws.FILTER(Roles[],Roles[Type of RACI]="R"),2,FALSE)</f>
        <v>DevOps</v>
      </c>
      <c r="F148" s="1" t="str" cm="1">
        <f t="array" ref="F148">VLOOKUP(Artifacts[[#This Row],[SOP]],_xlfn._xlws.FILTER(Roles[],Roles[Type of RACI]="A"),2,FALSE)</f>
        <v>Teknisk Lead</v>
      </c>
      <c r="G148" s="1" t="str" cm="1">
        <f t="array" ref="G148">VLOOKUP(Artifacts[[#This Row],[SOP]],_xlfn._xlws.FILTER(Roles[],Roles[Type of RACI]="C"),2,FALSE)</f>
        <v>Utvecklare</v>
      </c>
      <c r="H148" s="1" t="str" cm="1">
        <f t="array" ref="H148">VLOOKUP(Artifacts[[#This Row],[SOP]],_xlfn._xlws.FILTER(Roles[],Roles[Type of RACI]="I"),2,FALSE)</f>
        <v>Produktägare</v>
      </c>
      <c r="I148" s="1" t="str">
        <f>VLOOKUP(Artifacts[[#This Row],[SOP]],SOP[#All],3,FALSE)</f>
        <v>Leverans</v>
      </c>
      <c r="J148" s="1" t="str">
        <f>VLOOKUP(Artifacts[[#This Row],[SOP]],SOP[#All],2,FALSE)</f>
        <v>Integration &amp; bygg (CI/CD)</v>
      </c>
    </row>
    <row r="149" spans="1:10" hidden="1" x14ac:dyDescent="0.2">
      <c r="A149" s="1" t="s">
        <v>97</v>
      </c>
      <c r="B149" s="1" t="s">
        <v>96</v>
      </c>
      <c r="C149" s="1" t="s">
        <v>9</v>
      </c>
      <c r="D149" s="1">
        <f>COUNTIFS(Artifacts[Artifact],Artifacts[[#This Row],[Artifact]],Artifacts[Input or output],"output")</f>
        <v>0</v>
      </c>
      <c r="E149" s="1" t="str" cm="1">
        <f t="array" ref="E149">VLOOKUP(Artifacts[[#This Row],[SOP]],_xlfn._xlws.FILTER(Roles[],Roles[Type of RACI]="R"),2,FALSE)</f>
        <v>DevOps</v>
      </c>
      <c r="F149" s="1" t="str" cm="1">
        <f t="array" ref="F149">VLOOKUP(Artifacts[[#This Row],[SOP]],_xlfn._xlws.FILTER(Roles[],Roles[Type of RACI]="A"),2,FALSE)</f>
        <v>Teknisk Lead</v>
      </c>
      <c r="G149" s="1" t="str" cm="1">
        <f t="array" ref="G149">VLOOKUP(Artifacts[[#This Row],[SOP]],_xlfn._xlws.FILTER(Roles[],Roles[Type of RACI]="C"),2,FALSE)</f>
        <v>Utvecklare</v>
      </c>
      <c r="H149" s="1" t="str" cm="1">
        <f t="array" ref="H149">VLOOKUP(Artifacts[[#This Row],[SOP]],_xlfn._xlws.FILTER(Roles[],Roles[Type of RACI]="I"),2,FALSE)</f>
        <v>Produktägare</v>
      </c>
      <c r="I149" s="1" t="str">
        <f>VLOOKUP(Artifacts[[#This Row],[SOP]],SOP[#All],3,FALSE)</f>
        <v>Leverans</v>
      </c>
      <c r="J149" s="1" t="str">
        <f>VLOOKUP(Artifacts[[#This Row],[SOP]],SOP[#All],2,FALSE)</f>
        <v>Integration &amp; bygg (CI/CD)</v>
      </c>
    </row>
    <row r="150" spans="1:10" hidden="1" x14ac:dyDescent="0.2">
      <c r="A150" s="1" t="s">
        <v>98</v>
      </c>
      <c r="B150" s="1" t="s">
        <v>96</v>
      </c>
      <c r="C150" s="1" t="s">
        <v>9</v>
      </c>
      <c r="D150" s="1">
        <f>COUNTIFS(Artifacts[Artifact],Artifacts[[#This Row],[Artifact]],Artifacts[Input or output],"output")</f>
        <v>0</v>
      </c>
      <c r="E150" s="1" t="str" cm="1">
        <f t="array" ref="E150">VLOOKUP(Artifacts[[#This Row],[SOP]],_xlfn._xlws.FILTER(Roles[],Roles[Type of RACI]="R"),2,FALSE)</f>
        <v>DevOps</v>
      </c>
      <c r="F150" s="1" t="str" cm="1">
        <f t="array" ref="F150">VLOOKUP(Artifacts[[#This Row],[SOP]],_xlfn._xlws.FILTER(Roles[],Roles[Type of RACI]="A"),2,FALSE)</f>
        <v>Teknisk Lead</v>
      </c>
      <c r="G150" s="1" t="str" cm="1">
        <f t="array" ref="G150">VLOOKUP(Artifacts[[#This Row],[SOP]],_xlfn._xlws.FILTER(Roles[],Roles[Type of RACI]="C"),2,FALSE)</f>
        <v>Utvecklare</v>
      </c>
      <c r="H150" s="1" t="str" cm="1">
        <f t="array" ref="H150">VLOOKUP(Artifacts[[#This Row],[SOP]],_xlfn._xlws.FILTER(Roles[],Roles[Type of RACI]="I"),2,FALSE)</f>
        <v>Produktägare</v>
      </c>
      <c r="I150" s="1" t="str">
        <f>VLOOKUP(Artifacts[[#This Row],[SOP]],SOP[#All],3,FALSE)</f>
        <v>Leverans</v>
      </c>
      <c r="J150" s="1" t="str">
        <f>VLOOKUP(Artifacts[[#This Row],[SOP]],SOP[#All],2,FALSE)</f>
        <v>Integration &amp; bygg (CI/CD)</v>
      </c>
    </row>
    <row r="151" spans="1:10" x14ac:dyDescent="0.2">
      <c r="A151" s="1" t="s">
        <v>99</v>
      </c>
      <c r="B151" s="1" t="s">
        <v>96</v>
      </c>
      <c r="C151" s="1" t="s">
        <v>11</v>
      </c>
      <c r="D151" s="1">
        <f>COUNTIFS(Artifacts[Artifact],Artifacts[[#This Row],[Artifact]],Artifacts[Input or output],"output")</f>
        <v>1</v>
      </c>
      <c r="E151" s="1" t="str" cm="1">
        <f t="array" ref="E151">VLOOKUP(Artifacts[[#This Row],[SOP]],_xlfn._xlws.FILTER(Roles[],Roles[Type of RACI]="R"),2,FALSE)</f>
        <v>DevOps</v>
      </c>
      <c r="F151" s="1" t="str" cm="1">
        <f t="array" ref="F151">VLOOKUP(Artifacts[[#This Row],[SOP]],_xlfn._xlws.FILTER(Roles[],Roles[Type of RACI]="A"),2,FALSE)</f>
        <v>Teknisk Lead</v>
      </c>
      <c r="G151" s="1" t="str" cm="1">
        <f t="array" ref="G151">VLOOKUP(Artifacts[[#This Row],[SOP]],_xlfn._xlws.FILTER(Roles[],Roles[Type of RACI]="C"),2,FALSE)</f>
        <v>Utvecklare</v>
      </c>
      <c r="H151" s="1" t="str" cm="1">
        <f t="array" ref="H151">VLOOKUP(Artifacts[[#This Row],[SOP]],_xlfn._xlws.FILTER(Roles[],Roles[Type of RACI]="I"),2,FALSE)</f>
        <v>Produktägare</v>
      </c>
      <c r="I151" s="1" t="str">
        <f>VLOOKUP(Artifacts[[#This Row],[SOP]],SOP[#All],3,FALSE)</f>
        <v>Leverans</v>
      </c>
      <c r="J151" s="1" t="str">
        <f>VLOOKUP(Artifacts[[#This Row],[SOP]],SOP[#All],2,FALSE)</f>
        <v>Integration &amp; bygg (CI/CD)</v>
      </c>
    </row>
    <row r="152" spans="1:10" x14ac:dyDescent="0.2">
      <c r="A152" s="1" t="s">
        <v>101</v>
      </c>
      <c r="B152" s="1" t="s">
        <v>96</v>
      </c>
      <c r="C152" s="1" t="s">
        <v>11</v>
      </c>
      <c r="D152" s="1">
        <f>COUNTIFS(Artifacts[Artifact],Artifacts[[#This Row],[Artifact]],Artifacts[Input or output],"output")</f>
        <v>1</v>
      </c>
      <c r="E152" s="1" t="str" cm="1">
        <f t="array" ref="E152">VLOOKUP(Artifacts[[#This Row],[SOP]],_xlfn._xlws.FILTER(Roles[],Roles[Type of RACI]="R"),2,FALSE)</f>
        <v>DevOps</v>
      </c>
      <c r="F152" s="1" t="str" cm="1">
        <f t="array" ref="F152">VLOOKUP(Artifacts[[#This Row],[SOP]],_xlfn._xlws.FILTER(Roles[],Roles[Type of RACI]="A"),2,FALSE)</f>
        <v>Teknisk Lead</v>
      </c>
      <c r="G152" s="1" t="str" cm="1">
        <f t="array" ref="G152">VLOOKUP(Artifacts[[#This Row],[SOP]],_xlfn._xlws.FILTER(Roles[],Roles[Type of RACI]="C"),2,FALSE)</f>
        <v>Utvecklare</v>
      </c>
      <c r="H152" s="1" t="str" cm="1">
        <f t="array" ref="H152">VLOOKUP(Artifacts[[#This Row],[SOP]],_xlfn._xlws.FILTER(Roles[],Roles[Type of RACI]="I"),2,FALSE)</f>
        <v>Produktägare</v>
      </c>
      <c r="I152" s="1" t="str">
        <f>VLOOKUP(Artifacts[[#This Row],[SOP]],SOP[#All],3,FALSE)</f>
        <v>Leverans</v>
      </c>
      <c r="J152" s="1" t="str">
        <f>VLOOKUP(Artifacts[[#This Row],[SOP]],SOP[#All],2,FALSE)</f>
        <v>Integration &amp; bygg (CI/CD)</v>
      </c>
    </row>
    <row r="153" spans="1:10" hidden="1" x14ac:dyDescent="0.2">
      <c r="A153" s="1" t="s">
        <v>86</v>
      </c>
      <c r="B153" s="1" t="s">
        <v>102</v>
      </c>
      <c r="C153" s="1" t="s">
        <v>9</v>
      </c>
      <c r="D153" s="1">
        <f>COUNTIFS(Artifacts[Artifact],Artifacts[[#This Row],[Artifact]],Artifacts[Input or output],"output")</f>
        <v>2</v>
      </c>
      <c r="E153" s="1" t="str" cm="1">
        <f t="array" ref="E153">VLOOKUP(Artifacts[[#This Row],[SOP]],_xlfn._xlws.FILTER(Roles[],Roles[Type of RACI]="R"),2,FALSE)</f>
        <v>Utvecklare</v>
      </c>
      <c r="F153" s="1" t="str" cm="1">
        <f t="array" ref="F153">VLOOKUP(Artifacts[[#This Row],[SOP]],_xlfn._xlws.FILTER(Roles[],Roles[Type of RACI]="A"),2,FALSE)</f>
        <v>Produktägare</v>
      </c>
      <c r="G153" s="1" t="str" cm="1">
        <f t="array" ref="G153">VLOOKUP(Artifacts[[#This Row],[SOP]],_xlfn._xlws.FILTER(Roles[],Roles[Type of RACI]="C"),2,FALSE)</f>
        <v>Verksamhetsexperter</v>
      </c>
      <c r="H153" s="1" t="str" cm="1">
        <f t="array" ref="H153">VLOOKUP(Artifacts[[#This Row],[SOP]],_xlfn._xlws.FILTER(Roles[],Roles[Type of RACI]="I"),2,FALSE)</f>
        <v>Business Analyst</v>
      </c>
      <c r="I153" s="1" t="str">
        <f>VLOOKUP(Artifacts[[#This Row],[SOP]],SOP[#All],3,FALSE)</f>
        <v>Leverans</v>
      </c>
      <c r="J153" s="1" t="str">
        <f>VLOOKUP(Artifacts[[#This Row],[SOP]],SOP[#All],2,FALSE)</f>
        <v>Demo</v>
      </c>
    </row>
    <row r="154" spans="1:10" hidden="1" x14ac:dyDescent="0.2">
      <c r="A154" s="1" t="s">
        <v>82</v>
      </c>
      <c r="B154" s="1" t="s">
        <v>102</v>
      </c>
      <c r="C154" s="1" t="s">
        <v>9</v>
      </c>
      <c r="D154" s="1">
        <f>COUNTIFS(Artifacts[Artifact],Artifacts[[#This Row],[Artifact]],Artifacts[Input or output],"output")</f>
        <v>1</v>
      </c>
      <c r="E154" s="1" t="str" cm="1">
        <f t="array" ref="E154">VLOOKUP(Artifacts[[#This Row],[SOP]],_xlfn._xlws.FILTER(Roles[],Roles[Type of RACI]="R"),2,FALSE)</f>
        <v>Utvecklare</v>
      </c>
      <c r="F154" s="1" t="str" cm="1">
        <f t="array" ref="F154">VLOOKUP(Artifacts[[#This Row],[SOP]],_xlfn._xlws.FILTER(Roles[],Roles[Type of RACI]="A"),2,FALSE)</f>
        <v>Produktägare</v>
      </c>
      <c r="G154" s="1" t="str" cm="1">
        <f t="array" ref="G154">VLOOKUP(Artifacts[[#This Row],[SOP]],_xlfn._xlws.FILTER(Roles[],Roles[Type of RACI]="C"),2,FALSE)</f>
        <v>Verksamhetsexperter</v>
      </c>
      <c r="H154" s="1" t="str" cm="1">
        <f t="array" ref="H154">VLOOKUP(Artifacts[[#This Row],[SOP]],_xlfn._xlws.FILTER(Roles[],Roles[Type of RACI]="I"),2,FALSE)</f>
        <v>Business Analyst</v>
      </c>
      <c r="I154" s="1" t="str">
        <f>VLOOKUP(Artifacts[[#This Row],[SOP]],SOP[#All],3,FALSE)</f>
        <v>Leverans</v>
      </c>
      <c r="J154" s="1" t="str">
        <f>VLOOKUP(Artifacts[[#This Row],[SOP]],SOP[#All],2,FALSE)</f>
        <v>Demo</v>
      </c>
    </row>
    <row r="155" spans="1:10" x14ac:dyDescent="0.2">
      <c r="A155" s="1" t="s">
        <v>77</v>
      </c>
      <c r="B155" s="1" t="s">
        <v>102</v>
      </c>
      <c r="C155" s="1" t="s">
        <v>11</v>
      </c>
      <c r="D155" s="1">
        <f>COUNTIFS(Artifacts[Artifact],Artifacts[[#This Row],[Artifact]],Artifacts[Input or output],"output")</f>
        <v>1</v>
      </c>
      <c r="E155" s="1" t="str" cm="1">
        <f t="array" ref="E155">VLOOKUP(Artifacts[[#This Row],[SOP]],_xlfn._xlws.FILTER(Roles[],Roles[Type of RACI]="R"),2,FALSE)</f>
        <v>Utvecklare</v>
      </c>
      <c r="F155" s="1" t="str" cm="1">
        <f t="array" ref="F155">VLOOKUP(Artifacts[[#This Row],[SOP]],_xlfn._xlws.FILTER(Roles[],Roles[Type of RACI]="A"),2,FALSE)</f>
        <v>Produktägare</v>
      </c>
      <c r="G155" s="1" t="str" cm="1">
        <f t="array" ref="G155">VLOOKUP(Artifacts[[#This Row],[SOP]],_xlfn._xlws.FILTER(Roles[],Roles[Type of RACI]="C"),2,FALSE)</f>
        <v>Verksamhetsexperter</v>
      </c>
      <c r="H155" s="1" t="str" cm="1">
        <f t="array" ref="H155">VLOOKUP(Artifacts[[#This Row],[SOP]],_xlfn._xlws.FILTER(Roles[],Roles[Type of RACI]="I"),2,FALSE)</f>
        <v>Business Analyst</v>
      </c>
      <c r="I155" s="1" t="str">
        <f>VLOOKUP(Artifacts[[#This Row],[SOP]],SOP[#All],3,FALSE)</f>
        <v>Leverans</v>
      </c>
      <c r="J155" s="1" t="str">
        <f>VLOOKUP(Artifacts[[#This Row],[SOP]],SOP[#All],2,FALSE)</f>
        <v>Demo</v>
      </c>
    </row>
    <row r="156" spans="1:10" x14ac:dyDescent="0.2">
      <c r="A156" s="1" t="s">
        <v>90</v>
      </c>
      <c r="B156" s="1" t="s">
        <v>102</v>
      </c>
      <c r="C156" s="1" t="s">
        <v>11</v>
      </c>
      <c r="D156" s="1">
        <f>COUNTIFS(Artifacts[Artifact],Artifacts[[#This Row],[Artifact]],Artifacts[Input or output],"output")</f>
        <v>3</v>
      </c>
      <c r="E156" s="1" t="str" cm="1">
        <f t="array" ref="E156">VLOOKUP(Artifacts[[#This Row],[SOP]],_xlfn._xlws.FILTER(Roles[],Roles[Type of RACI]="R"),2,FALSE)</f>
        <v>Utvecklare</v>
      </c>
      <c r="F156" s="1" t="str" cm="1">
        <f t="array" ref="F156">VLOOKUP(Artifacts[[#This Row],[SOP]],_xlfn._xlws.FILTER(Roles[],Roles[Type of RACI]="A"),2,FALSE)</f>
        <v>Produktägare</v>
      </c>
      <c r="G156" s="1" t="str" cm="1">
        <f t="array" ref="G156">VLOOKUP(Artifacts[[#This Row],[SOP]],_xlfn._xlws.FILTER(Roles[],Roles[Type of RACI]="C"),2,FALSE)</f>
        <v>Verksamhetsexperter</v>
      </c>
      <c r="H156" s="1" t="str" cm="1">
        <f t="array" ref="H156">VLOOKUP(Artifacts[[#This Row],[SOP]],_xlfn._xlws.FILTER(Roles[],Roles[Type of RACI]="I"),2,FALSE)</f>
        <v>Business Analyst</v>
      </c>
      <c r="I156" s="1" t="str">
        <f>VLOOKUP(Artifacts[[#This Row],[SOP]],SOP[#All],3,FALSE)</f>
        <v>Leverans</v>
      </c>
      <c r="J156" s="1" t="str">
        <f>VLOOKUP(Artifacts[[#This Row],[SOP]],SOP[#All],2,FALSE)</f>
        <v>Demo</v>
      </c>
    </row>
    <row r="157" spans="1:10" hidden="1" x14ac:dyDescent="0.2">
      <c r="A157" s="1" t="s">
        <v>90</v>
      </c>
      <c r="B157" s="1" t="s">
        <v>103</v>
      </c>
      <c r="C157" s="1" t="s">
        <v>9</v>
      </c>
      <c r="D157" s="1">
        <f>COUNTIFS(Artifacts[Artifact],Artifacts[[#This Row],[Artifact]],Artifacts[Input or output],"output")</f>
        <v>3</v>
      </c>
      <c r="E157" s="1" t="str" cm="1">
        <f t="array" ref="E157">VLOOKUP(Artifacts[[#This Row],[SOP]],_xlfn._xlws.FILTER(Roles[],Roles[Type of RACI]="R"),2,FALSE)</f>
        <v>DevOps</v>
      </c>
      <c r="F157" s="1" t="str" cm="1">
        <f t="array" ref="F157">VLOOKUP(Artifacts[[#This Row],[SOP]],_xlfn._xlws.FILTER(Roles[],Roles[Type of RACI]="A"),2,FALSE)</f>
        <v>Produktägare</v>
      </c>
      <c r="G157" s="1" t="str" cm="1">
        <f t="array" ref="G157">VLOOKUP(Artifacts[[#This Row],[SOP]],_xlfn._xlws.FILTER(Roles[],Roles[Type of RACI]="C"),2,FALSE)</f>
        <v>Utvecklare</v>
      </c>
      <c r="H157" s="1" t="str" cm="1">
        <f t="array" ref="H157">VLOOKUP(Artifacts[[#This Row],[SOP]],_xlfn._xlws.FILTER(Roles[],Roles[Type of RACI]="I"),2,FALSE)</f>
        <v>Verksamhetsexperter</v>
      </c>
      <c r="I157" s="1" t="str">
        <f>VLOOKUP(Artifacts[[#This Row],[SOP]],SOP[#All],3,FALSE)</f>
        <v>Leverans</v>
      </c>
      <c r="J157" s="1" t="str">
        <f>VLOOKUP(Artifacts[[#This Row],[SOP]],SOP[#All],2,FALSE)</f>
        <v>Release</v>
      </c>
    </row>
    <row r="158" spans="1:10" hidden="1" x14ac:dyDescent="0.2">
      <c r="A158" s="1" t="s">
        <v>67</v>
      </c>
      <c r="B158" s="1" t="s">
        <v>103</v>
      </c>
      <c r="C158" s="1" t="s">
        <v>9</v>
      </c>
      <c r="D158" s="1">
        <f>COUNTIFS(Artifacts[Artifact],Artifacts[[#This Row],[Artifact]],Artifacts[Input or output],"output")</f>
        <v>2</v>
      </c>
      <c r="E158" s="1" t="str" cm="1">
        <f t="array" ref="E158">VLOOKUP(Artifacts[[#This Row],[SOP]],_xlfn._xlws.FILTER(Roles[],Roles[Type of RACI]="R"),2,FALSE)</f>
        <v>DevOps</v>
      </c>
      <c r="F158" s="1" t="str" cm="1">
        <f t="array" ref="F158">VLOOKUP(Artifacts[[#This Row],[SOP]],_xlfn._xlws.FILTER(Roles[],Roles[Type of RACI]="A"),2,FALSE)</f>
        <v>Produktägare</v>
      </c>
      <c r="G158" s="1" t="str" cm="1">
        <f t="array" ref="G158">VLOOKUP(Artifacts[[#This Row],[SOP]],_xlfn._xlws.FILTER(Roles[],Roles[Type of RACI]="C"),2,FALSE)</f>
        <v>Utvecklare</v>
      </c>
      <c r="H158" s="1" t="str" cm="1">
        <f t="array" ref="H158">VLOOKUP(Artifacts[[#This Row],[SOP]],_xlfn._xlws.FILTER(Roles[],Roles[Type of RACI]="I"),2,FALSE)</f>
        <v>Verksamhetsexperter</v>
      </c>
      <c r="I158" s="1" t="str">
        <f>VLOOKUP(Artifacts[[#This Row],[SOP]],SOP[#All],3,FALSE)</f>
        <v>Leverans</v>
      </c>
      <c r="J158" s="1" t="str">
        <f>VLOOKUP(Artifacts[[#This Row],[SOP]],SOP[#All],2,FALSE)</f>
        <v>Release</v>
      </c>
    </row>
    <row r="159" spans="1:10" x14ac:dyDescent="0.2">
      <c r="A159" s="1" t="s">
        <v>67</v>
      </c>
      <c r="B159" s="1" t="s">
        <v>103</v>
      </c>
      <c r="C159" s="1" t="s">
        <v>11</v>
      </c>
      <c r="D159" s="1">
        <f>COUNTIFS(Artifacts[Artifact],Artifacts[[#This Row],[Artifact]],Artifacts[Input or output],"output")</f>
        <v>2</v>
      </c>
      <c r="E159" s="1" t="str" cm="1">
        <f t="array" ref="E159">VLOOKUP(Artifacts[[#This Row],[SOP]],_xlfn._xlws.FILTER(Roles[],Roles[Type of RACI]="R"),2,FALSE)</f>
        <v>DevOps</v>
      </c>
      <c r="F159" s="1" t="str" cm="1">
        <f t="array" ref="F159">VLOOKUP(Artifacts[[#This Row],[SOP]],_xlfn._xlws.FILTER(Roles[],Roles[Type of RACI]="A"),2,FALSE)</f>
        <v>Produktägare</v>
      </c>
      <c r="G159" s="1" t="str" cm="1">
        <f t="array" ref="G159">VLOOKUP(Artifacts[[#This Row],[SOP]],_xlfn._xlws.FILTER(Roles[],Roles[Type of RACI]="C"),2,FALSE)</f>
        <v>Utvecklare</v>
      </c>
      <c r="H159" s="1" t="str" cm="1">
        <f t="array" ref="H159">VLOOKUP(Artifacts[[#This Row],[SOP]],_xlfn._xlws.FILTER(Roles[],Roles[Type of RACI]="I"),2,FALSE)</f>
        <v>Verksamhetsexperter</v>
      </c>
      <c r="I159" s="1" t="str">
        <f>VLOOKUP(Artifacts[[#This Row],[SOP]],SOP[#All],3,FALSE)</f>
        <v>Leverans</v>
      </c>
      <c r="J159" s="1" t="str">
        <f>VLOOKUP(Artifacts[[#This Row],[SOP]],SOP[#All],2,FALSE)</f>
        <v>Release</v>
      </c>
    </row>
    <row r="160" spans="1:10" x14ac:dyDescent="0.2">
      <c r="A160" s="1" t="s">
        <v>104</v>
      </c>
      <c r="B160" s="1" t="s">
        <v>103</v>
      </c>
      <c r="C160" s="1" t="s">
        <v>11</v>
      </c>
      <c r="D160" s="1">
        <f>COUNTIFS(Artifacts[Artifact],Artifacts[[#This Row],[Artifact]],Artifacts[Input or output],"output")</f>
        <v>1</v>
      </c>
      <c r="E160" s="1" t="str" cm="1">
        <f t="array" ref="E160">VLOOKUP(Artifacts[[#This Row],[SOP]],_xlfn._xlws.FILTER(Roles[],Roles[Type of RACI]="R"),2,FALSE)</f>
        <v>DevOps</v>
      </c>
      <c r="F160" s="1" t="str" cm="1">
        <f t="array" ref="F160">VLOOKUP(Artifacts[[#This Row],[SOP]],_xlfn._xlws.FILTER(Roles[],Roles[Type of RACI]="A"),2,FALSE)</f>
        <v>Produktägare</v>
      </c>
      <c r="G160" s="1" t="str" cm="1">
        <f t="array" ref="G160">VLOOKUP(Artifacts[[#This Row],[SOP]],_xlfn._xlws.FILTER(Roles[],Roles[Type of RACI]="C"),2,FALSE)</f>
        <v>Utvecklare</v>
      </c>
      <c r="H160" s="1" t="str" cm="1">
        <f t="array" ref="H160">VLOOKUP(Artifacts[[#This Row],[SOP]],_xlfn._xlws.FILTER(Roles[],Roles[Type of RACI]="I"),2,FALSE)</f>
        <v>Verksamhetsexperter</v>
      </c>
      <c r="I160" s="1" t="str">
        <f>VLOOKUP(Artifacts[[#This Row],[SOP]],SOP[#All],3,FALSE)</f>
        <v>Leverans</v>
      </c>
      <c r="J160" s="1" t="str">
        <f>VLOOKUP(Artifacts[[#This Row],[SOP]],SOP[#All],2,FALSE)</f>
        <v>Release</v>
      </c>
    </row>
    <row r="161" spans="1:10" hidden="1" x14ac:dyDescent="0.2">
      <c r="A161" s="1" t="s">
        <v>67</v>
      </c>
      <c r="B161" s="1" t="s">
        <v>105</v>
      </c>
      <c r="C161" s="1" t="s">
        <v>9</v>
      </c>
      <c r="D161" s="1">
        <f>COUNTIFS(Artifacts[Artifact],Artifacts[[#This Row],[Artifact]],Artifacts[Input or output],"output")</f>
        <v>2</v>
      </c>
      <c r="E161" s="1" t="str" cm="1">
        <f t="array" ref="E161">VLOOKUP(Artifacts[[#This Row],[SOP]],_xlfn._xlws.FILTER(Roles[],Roles[Type of RACI]="R"),2,FALSE)</f>
        <v>DevOps</v>
      </c>
      <c r="F161" s="1" t="str" cm="1">
        <f t="array" ref="F161">VLOOKUP(Artifacts[[#This Row],[SOP]],_xlfn._xlws.FILTER(Roles[],Roles[Type of RACI]="A"),2,FALSE)</f>
        <v>Teknisk Lead</v>
      </c>
      <c r="G161" s="1" t="str" cm="1">
        <f t="array" ref="G161">VLOOKUP(Artifacts[[#This Row],[SOP]],_xlfn._xlws.FILTER(Roles[],Roles[Type of RACI]="C"),2,FALSE)</f>
        <v>Utvecklare</v>
      </c>
      <c r="H161" s="1" t="str" cm="1">
        <f t="array" ref="H161">VLOOKUP(Artifacts[[#This Row],[SOP]],_xlfn._xlws.FILTER(Roles[],Roles[Type of RACI]="I"),2,FALSE)</f>
        <v>Produktägare</v>
      </c>
      <c r="I161" s="1" t="str">
        <f>VLOOKUP(Artifacts[[#This Row],[SOP]],SOP[#All],3,FALSE)</f>
        <v>Leverans</v>
      </c>
      <c r="J161" s="1" t="str">
        <f>VLOOKUP(Artifacts[[#This Row],[SOP]],SOP[#All],2,FALSE)</f>
        <v>Deployments</v>
      </c>
    </row>
    <row r="162" spans="1:10" hidden="1" x14ac:dyDescent="0.2">
      <c r="A162" s="1" t="s">
        <v>98</v>
      </c>
      <c r="B162" s="1" t="s">
        <v>105</v>
      </c>
      <c r="C162" s="1" t="s">
        <v>9</v>
      </c>
      <c r="D162" s="1">
        <f>COUNTIFS(Artifacts[Artifact],Artifacts[[#This Row],[Artifact]],Artifacts[Input or output],"output")</f>
        <v>0</v>
      </c>
      <c r="E162" s="1" t="str" cm="1">
        <f t="array" ref="E162">VLOOKUP(Artifacts[[#This Row],[SOP]],_xlfn._xlws.FILTER(Roles[],Roles[Type of RACI]="R"),2,FALSE)</f>
        <v>DevOps</v>
      </c>
      <c r="F162" s="1" t="str" cm="1">
        <f t="array" ref="F162">VLOOKUP(Artifacts[[#This Row],[SOP]],_xlfn._xlws.FILTER(Roles[],Roles[Type of RACI]="A"),2,FALSE)</f>
        <v>Teknisk Lead</v>
      </c>
      <c r="G162" s="1" t="str" cm="1">
        <f t="array" ref="G162">VLOOKUP(Artifacts[[#This Row],[SOP]],_xlfn._xlws.FILTER(Roles[],Roles[Type of RACI]="C"),2,FALSE)</f>
        <v>Utvecklare</v>
      </c>
      <c r="H162" s="1" t="str" cm="1">
        <f t="array" ref="H162">VLOOKUP(Artifacts[[#This Row],[SOP]],_xlfn._xlws.FILTER(Roles[],Roles[Type of RACI]="I"),2,FALSE)</f>
        <v>Produktägare</v>
      </c>
      <c r="I162" s="1" t="str">
        <f>VLOOKUP(Artifacts[[#This Row],[SOP]],SOP[#All],3,FALSE)</f>
        <v>Leverans</v>
      </c>
      <c r="J162" s="1" t="str">
        <f>VLOOKUP(Artifacts[[#This Row],[SOP]],SOP[#All],2,FALSE)</f>
        <v>Deployments</v>
      </c>
    </row>
    <row r="163" spans="1:10" x14ac:dyDescent="0.2">
      <c r="A163" s="1" t="s">
        <v>86</v>
      </c>
      <c r="B163" s="1" t="s">
        <v>105</v>
      </c>
      <c r="C163" s="1" t="s">
        <v>11</v>
      </c>
      <c r="D163" s="1">
        <f>COUNTIFS(Artifacts[Artifact],Artifacts[[#This Row],[Artifact]],Artifacts[Input or output],"output")</f>
        <v>2</v>
      </c>
      <c r="E163" s="1" t="str" cm="1">
        <f t="array" ref="E163">VLOOKUP(Artifacts[[#This Row],[SOP]],_xlfn._xlws.FILTER(Roles[],Roles[Type of RACI]="R"),2,FALSE)</f>
        <v>DevOps</v>
      </c>
      <c r="F163" s="1" t="str" cm="1">
        <f t="array" ref="F163">VLOOKUP(Artifacts[[#This Row],[SOP]],_xlfn._xlws.FILTER(Roles[],Roles[Type of RACI]="A"),2,FALSE)</f>
        <v>Teknisk Lead</v>
      </c>
      <c r="G163" s="1" t="str" cm="1">
        <f t="array" ref="G163">VLOOKUP(Artifacts[[#This Row],[SOP]],_xlfn._xlws.FILTER(Roles[],Roles[Type of RACI]="C"),2,FALSE)</f>
        <v>Utvecklare</v>
      </c>
      <c r="H163" s="1" t="str" cm="1">
        <f t="array" ref="H163">VLOOKUP(Artifacts[[#This Row],[SOP]],_xlfn._xlws.FILTER(Roles[],Roles[Type of RACI]="I"),2,FALSE)</f>
        <v>Produktägare</v>
      </c>
      <c r="I163" s="1" t="str">
        <f>VLOOKUP(Artifacts[[#This Row],[SOP]],SOP[#All],3,FALSE)</f>
        <v>Leverans</v>
      </c>
      <c r="J163" s="1" t="str">
        <f>VLOOKUP(Artifacts[[#This Row],[SOP]],SOP[#All],2,FALSE)</f>
        <v>Deployments</v>
      </c>
    </row>
    <row r="164" spans="1:10" x14ac:dyDescent="0.2">
      <c r="A164" s="1" t="s">
        <v>106</v>
      </c>
      <c r="B164" s="1" t="s">
        <v>105</v>
      </c>
      <c r="C164" s="1" t="s">
        <v>11</v>
      </c>
      <c r="D164" s="1">
        <f>COUNTIFS(Artifacts[Artifact],Artifacts[[#This Row],[Artifact]],Artifacts[Input or output],"output")</f>
        <v>1</v>
      </c>
      <c r="E164" s="1" t="str" cm="1">
        <f t="array" ref="E164">VLOOKUP(Artifacts[[#This Row],[SOP]],_xlfn._xlws.FILTER(Roles[],Roles[Type of RACI]="R"),2,FALSE)</f>
        <v>DevOps</v>
      </c>
      <c r="F164" s="1" t="str" cm="1">
        <f t="array" ref="F164">VLOOKUP(Artifacts[[#This Row],[SOP]],_xlfn._xlws.FILTER(Roles[],Roles[Type of RACI]="A"),2,FALSE)</f>
        <v>Teknisk Lead</v>
      </c>
      <c r="G164" s="1" t="str" cm="1">
        <f t="array" ref="G164">VLOOKUP(Artifacts[[#This Row],[SOP]],_xlfn._xlws.FILTER(Roles[],Roles[Type of RACI]="C"),2,FALSE)</f>
        <v>Utvecklare</v>
      </c>
      <c r="H164" s="1" t="str" cm="1">
        <f t="array" ref="H164">VLOOKUP(Artifacts[[#This Row],[SOP]],_xlfn._xlws.FILTER(Roles[],Roles[Type of RACI]="I"),2,FALSE)</f>
        <v>Produktägare</v>
      </c>
      <c r="I164" s="1" t="str">
        <f>VLOOKUP(Artifacts[[#This Row],[SOP]],SOP[#All],3,FALSE)</f>
        <v>Leverans</v>
      </c>
      <c r="J164" s="1" t="str">
        <f>VLOOKUP(Artifacts[[#This Row],[SOP]],SOP[#All],2,FALSE)</f>
        <v>Deployments</v>
      </c>
    </row>
    <row r="165" spans="1:10" hidden="1" x14ac:dyDescent="0.2">
      <c r="A165" s="1" t="s">
        <v>104</v>
      </c>
      <c r="B165" s="1" t="s">
        <v>107</v>
      </c>
      <c r="C165" s="1" t="s">
        <v>9</v>
      </c>
      <c r="D165" s="1">
        <f>COUNTIFS(Artifacts[Artifact],Artifacts[[#This Row],[Artifact]],Artifacts[Input or output],"output")</f>
        <v>1</v>
      </c>
      <c r="E165" s="1" t="str" cm="1">
        <f t="array" ref="E165">VLOOKUP(Artifacts[[#This Row],[SOP]],_xlfn._xlws.FILTER(Roles[],Roles[Type of RACI]="R"),2,FALSE)</f>
        <v>Business Analyst</v>
      </c>
      <c r="F165" s="1" t="str" cm="1">
        <f t="array" ref="F165">VLOOKUP(Artifacts[[#This Row],[SOP]],_xlfn._xlws.FILTER(Roles[],Roles[Type of RACI]="A"),2,FALSE)</f>
        <v>Produktägare</v>
      </c>
      <c r="G165" s="1" t="str" cm="1">
        <f t="array" ref="G165">VLOOKUP(Artifacts[[#This Row],[SOP]],_xlfn._xlws.FILTER(Roles[],Roles[Type of RACI]="C"),2,FALSE)</f>
        <v>Utvecklare</v>
      </c>
      <c r="H165" s="1" t="str" cm="1">
        <f t="array" ref="H165">VLOOKUP(Artifacts[[#This Row],[SOP]],_xlfn._xlws.FILTER(Roles[],Roles[Type of RACI]="I"),2,FALSE)</f>
        <v>Verksamhetsexperter</v>
      </c>
      <c r="I165" s="1" t="str">
        <f>VLOOKUP(Artifacts[[#This Row],[SOP]],SOP[#All],3,FALSE)</f>
        <v>Leverans</v>
      </c>
      <c r="J165" s="1" t="str">
        <f>VLOOKUP(Artifacts[[#This Row],[SOP]],SOP[#All],2,FALSE)</f>
        <v>Uppdatera dokumentation</v>
      </c>
    </row>
    <row r="166" spans="1:10" hidden="1" x14ac:dyDescent="0.2">
      <c r="A166" s="1" t="s">
        <v>86</v>
      </c>
      <c r="B166" s="1" t="s">
        <v>107</v>
      </c>
      <c r="C166" s="1" t="s">
        <v>9</v>
      </c>
      <c r="D166" s="1">
        <f>COUNTIFS(Artifacts[Artifact],Artifacts[[#This Row],[Artifact]],Artifacts[Input or output],"output")</f>
        <v>2</v>
      </c>
      <c r="E166" s="1" t="str" cm="1">
        <f t="array" ref="E166">VLOOKUP(Artifacts[[#This Row],[SOP]],_xlfn._xlws.FILTER(Roles[],Roles[Type of RACI]="R"),2,FALSE)</f>
        <v>Business Analyst</v>
      </c>
      <c r="F166" s="1" t="str" cm="1">
        <f t="array" ref="F166">VLOOKUP(Artifacts[[#This Row],[SOP]],_xlfn._xlws.FILTER(Roles[],Roles[Type of RACI]="A"),2,FALSE)</f>
        <v>Produktägare</v>
      </c>
      <c r="G166" s="1" t="str" cm="1">
        <f t="array" ref="G166">VLOOKUP(Artifacts[[#This Row],[SOP]],_xlfn._xlws.FILTER(Roles[],Roles[Type of RACI]="C"),2,FALSE)</f>
        <v>Utvecklare</v>
      </c>
      <c r="H166" s="1" t="str" cm="1">
        <f t="array" ref="H166">VLOOKUP(Artifacts[[#This Row],[SOP]],_xlfn._xlws.FILTER(Roles[],Roles[Type of RACI]="I"),2,FALSE)</f>
        <v>Verksamhetsexperter</v>
      </c>
      <c r="I166" s="1" t="str">
        <f>VLOOKUP(Artifacts[[#This Row],[SOP]],SOP[#All],3,FALSE)</f>
        <v>Leverans</v>
      </c>
      <c r="J166" s="1" t="str">
        <f>VLOOKUP(Artifacts[[#This Row],[SOP]],SOP[#All],2,FALSE)</f>
        <v>Uppdatera dokumentation</v>
      </c>
    </row>
    <row r="167" spans="1:10" hidden="1" x14ac:dyDescent="0.2">
      <c r="A167" s="1" t="s">
        <v>50</v>
      </c>
      <c r="B167" s="1" t="s">
        <v>107</v>
      </c>
      <c r="C167" s="1" t="s">
        <v>9</v>
      </c>
      <c r="D167" s="1">
        <f>COUNTIFS(Artifacts[Artifact],Artifacts[[#This Row],[Artifact]],Artifacts[Input or output],"output")</f>
        <v>1</v>
      </c>
      <c r="E167" s="1" t="str" cm="1">
        <f t="array" ref="E167">VLOOKUP(Artifacts[[#This Row],[SOP]],_xlfn._xlws.FILTER(Roles[],Roles[Type of RACI]="R"),2,FALSE)</f>
        <v>Business Analyst</v>
      </c>
      <c r="F167" s="1" t="str" cm="1">
        <f t="array" ref="F167">VLOOKUP(Artifacts[[#This Row],[SOP]],_xlfn._xlws.FILTER(Roles[],Roles[Type of RACI]="A"),2,FALSE)</f>
        <v>Produktägare</v>
      </c>
      <c r="G167" s="1" t="str" cm="1">
        <f t="array" ref="G167">VLOOKUP(Artifacts[[#This Row],[SOP]],_xlfn._xlws.FILTER(Roles[],Roles[Type of RACI]="C"),2,FALSE)</f>
        <v>Utvecklare</v>
      </c>
      <c r="H167" s="1" t="str" cm="1">
        <f t="array" ref="H167">VLOOKUP(Artifacts[[#This Row],[SOP]],_xlfn._xlws.FILTER(Roles[],Roles[Type of RACI]="I"),2,FALSE)</f>
        <v>Verksamhetsexperter</v>
      </c>
      <c r="I167" s="1" t="str">
        <f>VLOOKUP(Artifacts[[#This Row],[SOP]],SOP[#All],3,FALSE)</f>
        <v>Leverans</v>
      </c>
      <c r="J167" s="1" t="str">
        <f>VLOOKUP(Artifacts[[#This Row],[SOP]],SOP[#All],2,FALSE)</f>
        <v>Uppdatera dokumentation</v>
      </c>
    </row>
    <row r="168" spans="1:10" x14ac:dyDescent="0.2">
      <c r="A168" s="1" t="s">
        <v>108</v>
      </c>
      <c r="B168" s="1" t="s">
        <v>107</v>
      </c>
      <c r="C168" s="1" t="s">
        <v>11</v>
      </c>
      <c r="D168" s="1">
        <f>COUNTIFS(Artifacts[Artifact],Artifacts[[#This Row],[Artifact]],Artifacts[Input or output],"output")</f>
        <v>1</v>
      </c>
      <c r="E168" s="1" t="str" cm="1">
        <f t="array" ref="E168">VLOOKUP(Artifacts[[#This Row],[SOP]],_xlfn._xlws.FILTER(Roles[],Roles[Type of RACI]="R"),2,FALSE)</f>
        <v>Business Analyst</v>
      </c>
      <c r="F168" s="1" t="str" cm="1">
        <f t="array" ref="F168">VLOOKUP(Artifacts[[#This Row],[SOP]],_xlfn._xlws.FILTER(Roles[],Roles[Type of RACI]="A"),2,FALSE)</f>
        <v>Produktägare</v>
      </c>
      <c r="G168" s="1" t="str" cm="1">
        <f t="array" ref="G168">VLOOKUP(Artifacts[[#This Row],[SOP]],_xlfn._xlws.FILTER(Roles[],Roles[Type of RACI]="C"),2,FALSE)</f>
        <v>Utvecklare</v>
      </c>
      <c r="H168" s="1" t="str" cm="1">
        <f t="array" ref="H168">VLOOKUP(Artifacts[[#This Row],[SOP]],_xlfn._xlws.FILTER(Roles[],Roles[Type of RACI]="I"),2,FALSE)</f>
        <v>Verksamhetsexperter</v>
      </c>
      <c r="I168" s="1" t="str">
        <f>VLOOKUP(Artifacts[[#This Row],[SOP]],SOP[#All],3,FALSE)</f>
        <v>Leverans</v>
      </c>
      <c r="J168" s="1" t="str">
        <f>VLOOKUP(Artifacts[[#This Row],[SOP]],SOP[#All],2,FALSE)</f>
        <v>Uppdatera dokumentation</v>
      </c>
    </row>
    <row r="169" spans="1:10" hidden="1" x14ac:dyDescent="0.2">
      <c r="A169" s="1" t="s">
        <v>106</v>
      </c>
      <c r="B169" s="1" t="s">
        <v>109</v>
      </c>
      <c r="C169" s="1" t="s">
        <v>9</v>
      </c>
      <c r="D169" s="1">
        <f>COUNTIFS(Artifacts[Artifact],Artifacts[[#This Row],[Artifact]],Artifacts[Input or output],"output")</f>
        <v>1</v>
      </c>
      <c r="E169" s="1" t="str" cm="1">
        <f t="array" ref="E169">VLOOKUP(Artifacts[[#This Row],[SOP]],_xlfn._xlws.FILTER(Roles[],Roles[Type of RACI]="R"),2,FALSE)</f>
        <v>Scrum Master</v>
      </c>
      <c r="F169" s="1" t="str" cm="1">
        <f t="array" ref="F169">VLOOKUP(Artifacts[[#This Row],[SOP]],_xlfn._xlws.FILTER(Roles[],Roles[Type of RACI]="A"),2,FALSE)</f>
        <v>Produktägare</v>
      </c>
      <c r="G169" s="1" t="str" cm="1">
        <f t="array" ref="G169">VLOOKUP(Artifacts[[#This Row],[SOP]],_xlfn._xlws.FILTER(Roles[],Roles[Type of RACI]="C"),2,FALSE)</f>
        <v>Utvecklare</v>
      </c>
      <c r="H169" s="1" t="str" cm="1">
        <f t="array" ref="H169">VLOOKUP(Artifacts[[#This Row],[SOP]],_xlfn._xlws.FILTER(Roles[],Roles[Type of RACI]="I"),2,FALSE)</f>
        <v>Business Analyst</v>
      </c>
      <c r="I169" s="1" t="str">
        <f>VLOOKUP(Artifacts[[#This Row],[SOP]],SOP[#All],3,FALSE)</f>
        <v>Leverans</v>
      </c>
      <c r="J169" s="1" t="str">
        <f>VLOOKUP(Artifacts[[#This Row],[SOP]],SOP[#All],2,FALSE)</f>
        <v>Uppföljning &amp; förbättring</v>
      </c>
    </row>
    <row r="170" spans="1:10" hidden="1" x14ac:dyDescent="0.2">
      <c r="A170" s="1" t="s">
        <v>108</v>
      </c>
      <c r="B170" s="1" t="s">
        <v>109</v>
      </c>
      <c r="C170" s="1" t="s">
        <v>9</v>
      </c>
      <c r="D170" s="1">
        <f>COUNTIFS(Artifacts[Artifact],Artifacts[[#This Row],[Artifact]],Artifacts[Input or output],"output")</f>
        <v>1</v>
      </c>
      <c r="E170" s="1" t="str" cm="1">
        <f t="array" ref="E170">VLOOKUP(Artifacts[[#This Row],[SOP]],_xlfn._xlws.FILTER(Roles[],Roles[Type of RACI]="R"),2,FALSE)</f>
        <v>Scrum Master</v>
      </c>
      <c r="F170" s="1" t="str" cm="1">
        <f t="array" ref="F170">VLOOKUP(Artifacts[[#This Row],[SOP]],_xlfn._xlws.FILTER(Roles[],Roles[Type of RACI]="A"),2,FALSE)</f>
        <v>Produktägare</v>
      </c>
      <c r="G170" s="1" t="str" cm="1">
        <f t="array" ref="G170">VLOOKUP(Artifacts[[#This Row],[SOP]],_xlfn._xlws.FILTER(Roles[],Roles[Type of RACI]="C"),2,FALSE)</f>
        <v>Utvecklare</v>
      </c>
      <c r="H170" s="1" t="str" cm="1">
        <f t="array" ref="H170">VLOOKUP(Artifacts[[#This Row],[SOP]],_xlfn._xlws.FILTER(Roles[],Roles[Type of RACI]="I"),2,FALSE)</f>
        <v>Business Analyst</v>
      </c>
      <c r="I170" s="1" t="str">
        <f>VLOOKUP(Artifacts[[#This Row],[SOP]],SOP[#All],3,FALSE)</f>
        <v>Leverans</v>
      </c>
      <c r="J170" s="1" t="str">
        <f>VLOOKUP(Artifacts[[#This Row],[SOP]],SOP[#All],2,FALSE)</f>
        <v>Uppföljning &amp; förbättring</v>
      </c>
    </row>
    <row r="171" spans="1:10" hidden="1" x14ac:dyDescent="0.2">
      <c r="A171" s="1" t="s">
        <v>77</v>
      </c>
      <c r="B171" s="1" t="s">
        <v>109</v>
      </c>
      <c r="C171" s="1" t="s">
        <v>9</v>
      </c>
      <c r="D171" s="1">
        <f>COUNTIFS(Artifacts[Artifact],Artifacts[[#This Row],[Artifact]],Artifacts[Input or output],"output")</f>
        <v>1</v>
      </c>
      <c r="E171" s="1" t="str" cm="1">
        <f t="array" ref="E171">VLOOKUP(Artifacts[[#This Row],[SOP]],_xlfn._xlws.FILTER(Roles[],Roles[Type of RACI]="R"),2,FALSE)</f>
        <v>Scrum Master</v>
      </c>
      <c r="F171" s="1" t="str" cm="1">
        <f t="array" ref="F171">VLOOKUP(Artifacts[[#This Row],[SOP]],_xlfn._xlws.FILTER(Roles[],Roles[Type of RACI]="A"),2,FALSE)</f>
        <v>Produktägare</v>
      </c>
      <c r="G171" s="1" t="str" cm="1">
        <f t="array" ref="G171">VLOOKUP(Artifacts[[#This Row],[SOP]],_xlfn._xlws.FILTER(Roles[],Roles[Type of RACI]="C"),2,FALSE)</f>
        <v>Utvecklare</v>
      </c>
      <c r="H171" s="1" t="str" cm="1">
        <f t="array" ref="H171">VLOOKUP(Artifacts[[#This Row],[SOP]],_xlfn._xlws.FILTER(Roles[],Roles[Type of RACI]="I"),2,FALSE)</f>
        <v>Business Analyst</v>
      </c>
      <c r="I171" s="1" t="str">
        <f>VLOOKUP(Artifacts[[#This Row],[SOP]],SOP[#All],3,FALSE)</f>
        <v>Leverans</v>
      </c>
      <c r="J171" s="1" t="str">
        <f>VLOOKUP(Artifacts[[#This Row],[SOP]],SOP[#All],2,FALSE)</f>
        <v>Uppföljning &amp; förbättring</v>
      </c>
    </row>
    <row r="172" spans="1:10" hidden="1" x14ac:dyDescent="0.2">
      <c r="A172" s="1" t="s">
        <v>86</v>
      </c>
      <c r="B172" s="1" t="s">
        <v>109</v>
      </c>
      <c r="C172" s="1" t="s">
        <v>9</v>
      </c>
      <c r="D172" s="1">
        <f>COUNTIFS(Artifacts[Artifact],Artifacts[[#This Row],[Artifact]],Artifacts[Input or output],"output")</f>
        <v>2</v>
      </c>
      <c r="E172" s="1" t="str" cm="1">
        <f t="array" ref="E172">VLOOKUP(Artifacts[[#This Row],[SOP]],_xlfn._xlws.FILTER(Roles[],Roles[Type of RACI]="R"),2,FALSE)</f>
        <v>Scrum Master</v>
      </c>
      <c r="F172" s="1" t="str" cm="1">
        <f t="array" ref="F172">VLOOKUP(Artifacts[[#This Row],[SOP]],_xlfn._xlws.FILTER(Roles[],Roles[Type of RACI]="A"),2,FALSE)</f>
        <v>Produktägare</v>
      </c>
      <c r="G172" s="1" t="str" cm="1">
        <f t="array" ref="G172">VLOOKUP(Artifacts[[#This Row],[SOP]],_xlfn._xlws.FILTER(Roles[],Roles[Type of RACI]="C"),2,FALSE)</f>
        <v>Utvecklare</v>
      </c>
      <c r="H172" s="1" t="str" cm="1">
        <f t="array" ref="H172">VLOOKUP(Artifacts[[#This Row],[SOP]],_xlfn._xlws.FILTER(Roles[],Roles[Type of RACI]="I"),2,FALSE)</f>
        <v>Business Analyst</v>
      </c>
      <c r="I172" s="1" t="str">
        <f>VLOOKUP(Artifacts[[#This Row],[SOP]],SOP[#All],3,FALSE)</f>
        <v>Leverans</v>
      </c>
      <c r="J172" s="1" t="str">
        <f>VLOOKUP(Artifacts[[#This Row],[SOP]],SOP[#All],2,FALSE)</f>
        <v>Uppföljning &amp; förbättring</v>
      </c>
    </row>
    <row r="173" spans="1:10" x14ac:dyDescent="0.2">
      <c r="A173" s="1" t="s">
        <v>110</v>
      </c>
      <c r="B173" s="1" t="s">
        <v>109</v>
      </c>
      <c r="C173" s="1" t="s">
        <v>11</v>
      </c>
      <c r="D173" s="1">
        <f>COUNTIFS(Artifacts[Artifact],Artifacts[[#This Row],[Artifact]],Artifacts[Input or output],"output")</f>
        <v>1</v>
      </c>
      <c r="E173" s="1" t="str" cm="1">
        <f t="array" ref="E173">VLOOKUP(Artifacts[[#This Row],[SOP]],_xlfn._xlws.FILTER(Roles[],Roles[Type of RACI]="R"),2,FALSE)</f>
        <v>Scrum Master</v>
      </c>
      <c r="F173" s="1" t="str" cm="1">
        <f t="array" ref="F173">VLOOKUP(Artifacts[[#This Row],[SOP]],_xlfn._xlws.FILTER(Roles[],Roles[Type of RACI]="A"),2,FALSE)</f>
        <v>Produktägare</v>
      </c>
      <c r="G173" s="1" t="str" cm="1">
        <f t="array" ref="G173">VLOOKUP(Artifacts[[#This Row],[SOP]],_xlfn._xlws.FILTER(Roles[],Roles[Type of RACI]="C"),2,FALSE)</f>
        <v>Utvecklare</v>
      </c>
      <c r="H173" s="1" t="str" cm="1">
        <f t="array" ref="H173">VLOOKUP(Artifacts[[#This Row],[SOP]],_xlfn._xlws.FILTER(Roles[],Roles[Type of RACI]="I"),2,FALSE)</f>
        <v>Business Analyst</v>
      </c>
      <c r="I173" s="1" t="str">
        <f>VLOOKUP(Artifacts[[#This Row],[SOP]],SOP[#All],3,FALSE)</f>
        <v>Leverans</v>
      </c>
      <c r="J173" s="1" t="str">
        <f>VLOOKUP(Artifacts[[#This Row],[SOP]],SOP[#All],2,FALSE)</f>
        <v>Uppföljning &amp; förbättring</v>
      </c>
    </row>
    <row r="174" spans="1:10" x14ac:dyDescent="0.2">
      <c r="A174" s="1" t="s">
        <v>111</v>
      </c>
      <c r="B174" s="1" t="s">
        <v>109</v>
      </c>
      <c r="C174" s="1" t="s">
        <v>11</v>
      </c>
      <c r="D174" s="1">
        <f>COUNTIFS(Artifacts[Artifact],Artifacts[[#This Row],[Artifact]],Artifacts[Input or output],"output")</f>
        <v>2</v>
      </c>
      <c r="E174" s="1" t="str" cm="1">
        <f t="array" ref="E174">VLOOKUP(Artifacts[[#This Row],[SOP]],_xlfn._xlws.FILTER(Roles[],Roles[Type of RACI]="R"),2,FALSE)</f>
        <v>Scrum Master</v>
      </c>
      <c r="F174" s="1" t="str" cm="1">
        <f t="array" ref="F174">VLOOKUP(Artifacts[[#This Row],[SOP]],_xlfn._xlws.FILTER(Roles[],Roles[Type of RACI]="A"),2,FALSE)</f>
        <v>Produktägare</v>
      </c>
      <c r="G174" s="1" t="str" cm="1">
        <f t="array" ref="G174">VLOOKUP(Artifacts[[#This Row],[SOP]],_xlfn._xlws.FILTER(Roles[],Roles[Type of RACI]="C"),2,FALSE)</f>
        <v>Utvecklare</v>
      </c>
      <c r="H174" s="1" t="str" cm="1">
        <f t="array" ref="H174">VLOOKUP(Artifacts[[#This Row],[SOP]],_xlfn._xlws.FILTER(Roles[],Roles[Type of RACI]="I"),2,FALSE)</f>
        <v>Business Analyst</v>
      </c>
      <c r="I174" s="1" t="str">
        <f>VLOOKUP(Artifacts[[#This Row],[SOP]],SOP[#All],3,FALSE)</f>
        <v>Leverans</v>
      </c>
      <c r="J174" s="1" t="str">
        <f>VLOOKUP(Artifacts[[#This Row],[SOP]],SOP[#All],2,FALSE)</f>
        <v>Uppföljning &amp; förbättring</v>
      </c>
    </row>
    <row r="175" spans="1:10" hidden="1" x14ac:dyDescent="0.2">
      <c r="A175" s="1" t="s">
        <v>86</v>
      </c>
      <c r="B175" s="1" t="s">
        <v>112</v>
      </c>
      <c r="C175" s="1" t="s">
        <v>9</v>
      </c>
      <c r="D175" s="1">
        <f>COUNTIFS(Artifacts[Artifact],Artifacts[[#This Row],[Artifact]],Artifacts[Input or output],"output")</f>
        <v>2</v>
      </c>
      <c r="E175" s="1" t="str" cm="1">
        <f t="array" ref="E175">VLOOKUP(Artifacts[[#This Row],[SOP]],_xlfn._xlws.FILTER(Roles[],Roles[Type of RACI]="R"),2,FALSE)</f>
        <v>Business Analyst</v>
      </c>
      <c r="F175" s="1" t="str" cm="1">
        <f t="array" ref="F175">VLOOKUP(Artifacts[[#This Row],[SOP]],_xlfn._xlws.FILTER(Roles[],Roles[Type of RACI]="A"),2,FALSE)</f>
        <v>Produktägare</v>
      </c>
      <c r="G175" s="1" t="str" cm="1">
        <f t="array" ref="G175">VLOOKUP(Artifacts[[#This Row],[SOP]],_xlfn._xlws.FILTER(Roles[],Roles[Type of RACI]="C"),2,FALSE)</f>
        <v>Verksamhetsexperter</v>
      </c>
      <c r="H175" s="1" t="str" cm="1">
        <f t="array" ref="H175">VLOOKUP(Artifacts[[#This Row],[SOP]],_xlfn._xlws.FILTER(Roles[],Roles[Type of RACI]="I"),2,FALSE)</f>
        <v>Utvecklare</v>
      </c>
      <c r="I175" s="1" t="str">
        <f>VLOOKUP(Artifacts[[#This Row],[SOP]],SOP[#All],3,FALSE)</f>
        <v>Repeat</v>
      </c>
      <c r="J175" s="1" t="str">
        <f>VLOOKUP(Artifacts[[#This Row],[SOP]],SOP[#All],2,FALSE)</f>
        <v>Utvärdera leveransresultat</v>
      </c>
    </row>
    <row r="176" spans="1:10" hidden="1" x14ac:dyDescent="0.2">
      <c r="A176" s="1" t="s">
        <v>77</v>
      </c>
      <c r="B176" s="1" t="s">
        <v>112</v>
      </c>
      <c r="C176" s="1" t="s">
        <v>9</v>
      </c>
      <c r="D176" s="1">
        <f>COUNTIFS(Artifacts[Artifact],Artifacts[[#This Row],[Artifact]],Artifacts[Input or output],"output")</f>
        <v>1</v>
      </c>
      <c r="E176" s="1" t="str" cm="1">
        <f t="array" ref="E176">VLOOKUP(Artifacts[[#This Row],[SOP]],_xlfn._xlws.FILTER(Roles[],Roles[Type of RACI]="R"),2,FALSE)</f>
        <v>Business Analyst</v>
      </c>
      <c r="F176" s="1" t="str" cm="1">
        <f t="array" ref="F176">VLOOKUP(Artifacts[[#This Row],[SOP]],_xlfn._xlws.FILTER(Roles[],Roles[Type of RACI]="A"),2,FALSE)</f>
        <v>Produktägare</v>
      </c>
      <c r="G176" s="1" t="str" cm="1">
        <f t="array" ref="G176">VLOOKUP(Artifacts[[#This Row],[SOP]],_xlfn._xlws.FILTER(Roles[],Roles[Type of RACI]="C"),2,FALSE)</f>
        <v>Verksamhetsexperter</v>
      </c>
      <c r="H176" s="1" t="str" cm="1">
        <f t="array" ref="H176">VLOOKUP(Artifacts[[#This Row],[SOP]],_xlfn._xlws.FILTER(Roles[],Roles[Type of RACI]="I"),2,FALSE)</f>
        <v>Utvecklare</v>
      </c>
      <c r="I176" s="1" t="str">
        <f>VLOOKUP(Artifacts[[#This Row],[SOP]],SOP[#All],3,FALSE)</f>
        <v>Repeat</v>
      </c>
      <c r="J176" s="1" t="str">
        <f>VLOOKUP(Artifacts[[#This Row],[SOP]],SOP[#All],2,FALSE)</f>
        <v>Utvärdera leveransresultat</v>
      </c>
    </row>
    <row r="177" spans="1:10" hidden="1" x14ac:dyDescent="0.2">
      <c r="A177" s="1" t="s">
        <v>104</v>
      </c>
      <c r="B177" s="1" t="s">
        <v>112</v>
      </c>
      <c r="C177" s="1" t="s">
        <v>9</v>
      </c>
      <c r="D177" s="1">
        <f>COUNTIFS(Artifacts[Artifact],Artifacts[[#This Row],[Artifact]],Artifacts[Input or output],"output")</f>
        <v>1</v>
      </c>
      <c r="E177" s="1" t="str" cm="1">
        <f t="array" ref="E177">VLOOKUP(Artifacts[[#This Row],[SOP]],_xlfn._xlws.FILTER(Roles[],Roles[Type of RACI]="R"),2,FALSE)</f>
        <v>Business Analyst</v>
      </c>
      <c r="F177" s="1" t="str" cm="1">
        <f t="array" ref="F177">VLOOKUP(Artifacts[[#This Row],[SOP]],_xlfn._xlws.FILTER(Roles[],Roles[Type of RACI]="A"),2,FALSE)</f>
        <v>Produktägare</v>
      </c>
      <c r="G177" s="1" t="str" cm="1">
        <f t="array" ref="G177">VLOOKUP(Artifacts[[#This Row],[SOP]],_xlfn._xlws.FILTER(Roles[],Roles[Type of RACI]="C"),2,FALSE)</f>
        <v>Verksamhetsexperter</v>
      </c>
      <c r="H177" s="1" t="str" cm="1">
        <f t="array" ref="H177">VLOOKUP(Artifacts[[#This Row],[SOP]],_xlfn._xlws.FILTER(Roles[],Roles[Type of RACI]="I"),2,FALSE)</f>
        <v>Utvecklare</v>
      </c>
      <c r="I177" s="1" t="str">
        <f>VLOOKUP(Artifacts[[#This Row],[SOP]],SOP[#All],3,FALSE)</f>
        <v>Repeat</v>
      </c>
      <c r="J177" s="1" t="str">
        <f>VLOOKUP(Artifacts[[#This Row],[SOP]],SOP[#All],2,FALSE)</f>
        <v>Utvärdera leveransresultat</v>
      </c>
    </row>
    <row r="178" spans="1:10" hidden="1" x14ac:dyDescent="0.2">
      <c r="A178" s="1" t="s">
        <v>36</v>
      </c>
      <c r="B178" s="1" t="s">
        <v>112</v>
      </c>
      <c r="C178" s="1" t="s">
        <v>9</v>
      </c>
      <c r="D178" s="1">
        <f>COUNTIFS(Artifacts[Artifact],Artifacts[[#This Row],[Artifact]],Artifacts[Input or output],"output")</f>
        <v>1</v>
      </c>
      <c r="E178" s="1" t="str" cm="1">
        <f t="array" ref="E178">VLOOKUP(Artifacts[[#This Row],[SOP]],_xlfn._xlws.FILTER(Roles[],Roles[Type of RACI]="R"),2,FALSE)</f>
        <v>Business Analyst</v>
      </c>
      <c r="F178" s="1" t="str" cm="1">
        <f t="array" ref="F178">VLOOKUP(Artifacts[[#This Row],[SOP]],_xlfn._xlws.FILTER(Roles[],Roles[Type of RACI]="A"),2,FALSE)</f>
        <v>Produktägare</v>
      </c>
      <c r="G178" s="1" t="str" cm="1">
        <f t="array" ref="G178">VLOOKUP(Artifacts[[#This Row],[SOP]],_xlfn._xlws.FILTER(Roles[],Roles[Type of RACI]="C"),2,FALSE)</f>
        <v>Verksamhetsexperter</v>
      </c>
      <c r="H178" s="1" t="str" cm="1">
        <f t="array" ref="H178">VLOOKUP(Artifacts[[#This Row],[SOP]],_xlfn._xlws.FILTER(Roles[],Roles[Type of RACI]="I"),2,FALSE)</f>
        <v>Utvecklare</v>
      </c>
      <c r="I178" s="1" t="str">
        <f>VLOOKUP(Artifacts[[#This Row],[SOP]],SOP[#All],3,FALSE)</f>
        <v>Repeat</v>
      </c>
      <c r="J178" s="1" t="str">
        <f>VLOOKUP(Artifacts[[#This Row],[SOP]],SOP[#All],2,FALSE)</f>
        <v>Utvärdera leveransresultat</v>
      </c>
    </row>
    <row r="179" spans="1:10" x14ac:dyDescent="0.2">
      <c r="A179" s="1" t="s">
        <v>113</v>
      </c>
      <c r="B179" s="1" t="s">
        <v>112</v>
      </c>
      <c r="C179" s="1" t="s">
        <v>11</v>
      </c>
      <c r="D179" s="1">
        <f>COUNTIFS(Artifacts[Artifact],Artifacts[[#This Row],[Artifact]],Artifacts[Input or output],"output")</f>
        <v>1</v>
      </c>
      <c r="E179" s="1" t="str" cm="1">
        <f t="array" ref="E179">VLOOKUP(Artifacts[[#This Row],[SOP]],_xlfn._xlws.FILTER(Roles[],Roles[Type of RACI]="R"),2,FALSE)</f>
        <v>Business Analyst</v>
      </c>
      <c r="F179" s="1" t="str" cm="1">
        <f t="array" ref="F179">VLOOKUP(Artifacts[[#This Row],[SOP]],_xlfn._xlws.FILTER(Roles[],Roles[Type of RACI]="A"),2,FALSE)</f>
        <v>Produktägare</v>
      </c>
      <c r="G179" s="1" t="str" cm="1">
        <f t="array" ref="G179">VLOOKUP(Artifacts[[#This Row],[SOP]],_xlfn._xlws.FILTER(Roles[],Roles[Type of RACI]="C"),2,FALSE)</f>
        <v>Verksamhetsexperter</v>
      </c>
      <c r="H179" s="1" t="str" cm="1">
        <f t="array" ref="H179">VLOOKUP(Artifacts[[#This Row],[SOP]],_xlfn._xlws.FILTER(Roles[],Roles[Type of RACI]="I"),2,FALSE)</f>
        <v>Utvecklare</v>
      </c>
      <c r="I179" s="1" t="str">
        <f>VLOOKUP(Artifacts[[#This Row],[SOP]],SOP[#All],3,FALSE)</f>
        <v>Repeat</v>
      </c>
      <c r="J179" s="1" t="str">
        <f>VLOOKUP(Artifacts[[#This Row],[SOP]],SOP[#All],2,FALSE)</f>
        <v>Utvärdera leveransresultat</v>
      </c>
    </row>
    <row r="180" spans="1:10" x14ac:dyDescent="0.2">
      <c r="A180" s="1" t="s">
        <v>114</v>
      </c>
      <c r="B180" s="1" t="s">
        <v>112</v>
      </c>
      <c r="C180" s="1" t="s">
        <v>11</v>
      </c>
      <c r="D180" s="1">
        <f>COUNTIFS(Artifacts[Artifact],Artifacts[[#This Row],[Artifact]],Artifacts[Input or output],"output")</f>
        <v>1</v>
      </c>
      <c r="E180" s="1" t="str" cm="1">
        <f t="array" ref="E180">VLOOKUP(Artifacts[[#This Row],[SOP]],_xlfn._xlws.FILTER(Roles[],Roles[Type of RACI]="R"),2,FALSE)</f>
        <v>Business Analyst</v>
      </c>
      <c r="F180" s="1" t="str" cm="1">
        <f t="array" ref="F180">VLOOKUP(Artifacts[[#This Row],[SOP]],_xlfn._xlws.FILTER(Roles[],Roles[Type of RACI]="A"),2,FALSE)</f>
        <v>Produktägare</v>
      </c>
      <c r="G180" s="1" t="str" cm="1">
        <f t="array" ref="G180">VLOOKUP(Artifacts[[#This Row],[SOP]],_xlfn._xlws.FILTER(Roles[],Roles[Type of RACI]="C"),2,FALSE)</f>
        <v>Verksamhetsexperter</v>
      </c>
      <c r="H180" s="1" t="str" cm="1">
        <f t="array" ref="H180">VLOOKUP(Artifacts[[#This Row],[SOP]],_xlfn._xlws.FILTER(Roles[],Roles[Type of RACI]="I"),2,FALSE)</f>
        <v>Utvecklare</v>
      </c>
      <c r="I180" s="1" t="str">
        <f>VLOOKUP(Artifacts[[#This Row],[SOP]],SOP[#All],3,FALSE)</f>
        <v>Repeat</v>
      </c>
      <c r="J180" s="1" t="str">
        <f>VLOOKUP(Artifacts[[#This Row],[SOP]],SOP[#All],2,FALSE)</f>
        <v>Utvärdera leveransresultat</v>
      </c>
    </row>
    <row r="181" spans="1:10" hidden="1" x14ac:dyDescent="0.2">
      <c r="A181" s="1" t="s">
        <v>86</v>
      </c>
      <c r="B181" s="1" t="s">
        <v>115</v>
      </c>
      <c r="C181" s="1" t="s">
        <v>9</v>
      </c>
      <c r="D181" s="1">
        <f>COUNTIFS(Artifacts[Artifact],Artifacts[[#This Row],[Artifact]],Artifacts[Input or output],"output")</f>
        <v>2</v>
      </c>
      <c r="E181" s="1" t="str" cm="1">
        <f t="array" ref="E181">VLOOKUP(Artifacts[[#This Row],[SOP]],_xlfn._xlws.FILTER(Roles[],Roles[Type of RACI]="R"),2,FALSE)</f>
        <v>Scrum Master</v>
      </c>
      <c r="F181" s="1" t="str" cm="1">
        <f t="array" ref="F181">VLOOKUP(Artifacts[[#This Row],[SOP]],_xlfn._xlws.FILTER(Roles[],Roles[Type of RACI]="A"),2,FALSE)</f>
        <v>Produktägare</v>
      </c>
      <c r="G181" s="1" t="str" cm="1">
        <f t="array" ref="G181">VLOOKUP(Artifacts[[#This Row],[SOP]],_xlfn._xlws.FILTER(Roles[],Roles[Type of RACI]="C"),2,FALSE)</f>
        <v>Utvecklare</v>
      </c>
      <c r="H181" s="1" t="str" cm="1">
        <f t="array" ref="H181">VLOOKUP(Artifacts[[#This Row],[SOP]],_xlfn._xlws.FILTER(Roles[],Roles[Type of RACI]="I"),2,FALSE)</f>
        <v>Business Analyst</v>
      </c>
      <c r="I181" s="1" t="str">
        <f>VLOOKUP(Artifacts[[#This Row],[SOP]],SOP[#All],3,FALSE)</f>
        <v>Repeat</v>
      </c>
      <c r="J181" s="1" t="str">
        <f>VLOOKUP(Artifacts[[#This Row],[SOP]],SOP[#All],2,FALSE)</f>
        <v>Utvärdera process &amp; arbetssätt</v>
      </c>
    </row>
    <row r="182" spans="1:10" hidden="1" x14ac:dyDescent="0.2">
      <c r="A182" s="1" t="s">
        <v>116</v>
      </c>
      <c r="B182" s="1" t="s">
        <v>115</v>
      </c>
      <c r="C182" s="1" t="s">
        <v>9</v>
      </c>
      <c r="D182" s="1">
        <f>COUNTIFS(Artifacts[Artifact],Artifacts[[#This Row],[Artifact]],Artifacts[Input or output],"output")</f>
        <v>0</v>
      </c>
      <c r="E182" s="1" t="str" cm="1">
        <f t="array" ref="E182">VLOOKUP(Artifacts[[#This Row],[SOP]],_xlfn._xlws.FILTER(Roles[],Roles[Type of RACI]="R"),2,FALSE)</f>
        <v>Scrum Master</v>
      </c>
      <c r="F182" s="1" t="str" cm="1">
        <f t="array" ref="F182">VLOOKUP(Artifacts[[#This Row],[SOP]],_xlfn._xlws.FILTER(Roles[],Roles[Type of RACI]="A"),2,FALSE)</f>
        <v>Produktägare</v>
      </c>
      <c r="G182" s="1" t="str" cm="1">
        <f t="array" ref="G182">VLOOKUP(Artifacts[[#This Row],[SOP]],_xlfn._xlws.FILTER(Roles[],Roles[Type of RACI]="C"),2,FALSE)</f>
        <v>Utvecklare</v>
      </c>
      <c r="H182" s="1" t="str" cm="1">
        <f t="array" ref="H182">VLOOKUP(Artifacts[[#This Row],[SOP]],_xlfn._xlws.FILTER(Roles[],Roles[Type of RACI]="I"),2,FALSE)</f>
        <v>Business Analyst</v>
      </c>
      <c r="I182" s="1" t="str">
        <f>VLOOKUP(Artifacts[[#This Row],[SOP]],SOP[#All],3,FALSE)</f>
        <v>Repeat</v>
      </c>
      <c r="J182" s="1" t="str">
        <f>VLOOKUP(Artifacts[[#This Row],[SOP]],SOP[#All],2,FALSE)</f>
        <v>Utvärdera process &amp; arbetssätt</v>
      </c>
    </row>
    <row r="183" spans="1:10" hidden="1" x14ac:dyDescent="0.2">
      <c r="A183" s="1" t="s">
        <v>113</v>
      </c>
      <c r="B183" s="1" t="s">
        <v>115</v>
      </c>
      <c r="C183" s="1" t="s">
        <v>9</v>
      </c>
      <c r="D183" s="1">
        <f>COUNTIFS(Artifacts[Artifact],Artifacts[[#This Row],[Artifact]],Artifacts[Input or output],"output")</f>
        <v>1</v>
      </c>
      <c r="E183" s="1" t="str" cm="1">
        <f t="array" ref="E183">VLOOKUP(Artifacts[[#This Row],[SOP]],_xlfn._xlws.FILTER(Roles[],Roles[Type of RACI]="R"),2,FALSE)</f>
        <v>Scrum Master</v>
      </c>
      <c r="F183" s="1" t="str" cm="1">
        <f t="array" ref="F183">VLOOKUP(Artifacts[[#This Row],[SOP]],_xlfn._xlws.FILTER(Roles[],Roles[Type of RACI]="A"),2,FALSE)</f>
        <v>Produktägare</v>
      </c>
      <c r="G183" s="1" t="str" cm="1">
        <f t="array" ref="G183">VLOOKUP(Artifacts[[#This Row],[SOP]],_xlfn._xlws.FILTER(Roles[],Roles[Type of RACI]="C"),2,FALSE)</f>
        <v>Utvecklare</v>
      </c>
      <c r="H183" s="1" t="str" cm="1">
        <f t="array" ref="H183">VLOOKUP(Artifacts[[#This Row],[SOP]],_xlfn._xlws.FILTER(Roles[],Roles[Type of RACI]="I"),2,FALSE)</f>
        <v>Business Analyst</v>
      </c>
      <c r="I183" s="1" t="str">
        <f>VLOOKUP(Artifacts[[#This Row],[SOP]],SOP[#All],3,FALSE)</f>
        <v>Repeat</v>
      </c>
      <c r="J183" s="1" t="str">
        <f>VLOOKUP(Artifacts[[#This Row],[SOP]],SOP[#All],2,FALSE)</f>
        <v>Utvärdera process &amp; arbetssätt</v>
      </c>
    </row>
    <row r="184" spans="1:10" x14ac:dyDescent="0.2">
      <c r="A184" s="1" t="s">
        <v>111</v>
      </c>
      <c r="B184" s="1" t="s">
        <v>115</v>
      </c>
      <c r="C184" s="1" t="s">
        <v>11</v>
      </c>
      <c r="D184" s="1">
        <f>COUNTIFS(Artifacts[Artifact],Artifacts[[#This Row],[Artifact]],Artifacts[Input or output],"output")</f>
        <v>2</v>
      </c>
      <c r="E184" s="1" t="str" cm="1">
        <f t="array" ref="E184">VLOOKUP(Artifacts[[#This Row],[SOP]],_xlfn._xlws.FILTER(Roles[],Roles[Type of RACI]="R"),2,FALSE)</f>
        <v>Scrum Master</v>
      </c>
      <c r="F184" s="1" t="str" cm="1">
        <f t="array" ref="F184">VLOOKUP(Artifacts[[#This Row],[SOP]],_xlfn._xlws.FILTER(Roles[],Roles[Type of RACI]="A"),2,FALSE)</f>
        <v>Produktägare</v>
      </c>
      <c r="G184" s="1" t="str" cm="1">
        <f t="array" ref="G184">VLOOKUP(Artifacts[[#This Row],[SOP]],_xlfn._xlws.FILTER(Roles[],Roles[Type of RACI]="C"),2,FALSE)</f>
        <v>Utvecklare</v>
      </c>
      <c r="H184" s="1" t="str" cm="1">
        <f t="array" ref="H184">VLOOKUP(Artifacts[[#This Row],[SOP]],_xlfn._xlws.FILTER(Roles[],Roles[Type of RACI]="I"),2,FALSE)</f>
        <v>Business Analyst</v>
      </c>
      <c r="I184" s="1" t="str">
        <f>VLOOKUP(Artifacts[[#This Row],[SOP]],SOP[#All],3,FALSE)</f>
        <v>Repeat</v>
      </c>
      <c r="J184" s="1" t="str">
        <f>VLOOKUP(Artifacts[[#This Row],[SOP]],SOP[#All],2,FALSE)</f>
        <v>Utvärdera process &amp; arbetssätt</v>
      </c>
    </row>
    <row r="185" spans="1:10" x14ac:dyDescent="0.2">
      <c r="A185" s="1" t="s">
        <v>117</v>
      </c>
      <c r="B185" s="1" t="s">
        <v>115</v>
      </c>
      <c r="C185" s="1" t="s">
        <v>11</v>
      </c>
      <c r="D185" s="1">
        <f>COUNTIFS(Artifacts[Artifact],Artifacts[[#This Row],[Artifact]],Artifacts[Input or output],"output")</f>
        <v>1</v>
      </c>
      <c r="E185" s="1" t="str" cm="1">
        <f t="array" ref="E185">VLOOKUP(Artifacts[[#This Row],[SOP]],_xlfn._xlws.FILTER(Roles[],Roles[Type of RACI]="R"),2,FALSE)</f>
        <v>Scrum Master</v>
      </c>
      <c r="F185" s="1" t="str" cm="1">
        <f t="array" ref="F185">VLOOKUP(Artifacts[[#This Row],[SOP]],_xlfn._xlws.FILTER(Roles[],Roles[Type of RACI]="A"),2,FALSE)</f>
        <v>Produktägare</v>
      </c>
      <c r="G185" s="1" t="str" cm="1">
        <f t="array" ref="G185">VLOOKUP(Artifacts[[#This Row],[SOP]],_xlfn._xlws.FILTER(Roles[],Roles[Type of RACI]="C"),2,FALSE)</f>
        <v>Utvecklare</v>
      </c>
      <c r="H185" s="1" t="str" cm="1">
        <f t="array" ref="H185">VLOOKUP(Artifacts[[#This Row],[SOP]],_xlfn._xlws.FILTER(Roles[],Roles[Type of RACI]="I"),2,FALSE)</f>
        <v>Business Analyst</v>
      </c>
      <c r="I185" s="1" t="str">
        <f>VLOOKUP(Artifacts[[#This Row],[SOP]],SOP[#All],3,FALSE)</f>
        <v>Repeat</v>
      </c>
      <c r="J185" s="1" t="str">
        <f>VLOOKUP(Artifacts[[#This Row],[SOP]],SOP[#All],2,FALSE)</f>
        <v>Utvärdera process &amp; arbetssätt</v>
      </c>
    </row>
    <row r="186" spans="1:10" hidden="1" x14ac:dyDescent="0.2">
      <c r="A186" s="1" t="s">
        <v>113</v>
      </c>
      <c r="B186" s="1" t="s">
        <v>118</v>
      </c>
      <c r="C186" s="1" t="s">
        <v>9</v>
      </c>
      <c r="D186" s="1">
        <f>COUNTIFS(Artifacts[Artifact],Artifacts[[#This Row],[Artifact]],Artifacts[Input or output],"output")</f>
        <v>1</v>
      </c>
      <c r="E186" s="1" t="str" cm="1">
        <f t="array" ref="E186">VLOOKUP(Artifacts[[#This Row],[SOP]],_xlfn._xlws.FILTER(Roles[],Roles[Type of RACI]="R"),2,FALSE)</f>
        <v>Business Analyst</v>
      </c>
      <c r="F186" s="1" t="str" cm="1">
        <f t="array" ref="F186">VLOOKUP(Artifacts[[#This Row],[SOP]],_xlfn._xlws.FILTER(Roles[],Roles[Type of RACI]="A"),2,FALSE)</f>
        <v>Produktägare</v>
      </c>
      <c r="G186" s="1" t="str" cm="1">
        <f t="array" ref="G186">VLOOKUP(Artifacts[[#This Row],[SOP]],_xlfn._xlws.FILTER(Roles[],Roles[Type of RACI]="C"),2,FALSE)</f>
        <v>Verksamhetsexperter</v>
      </c>
      <c r="H186" s="1" t="str" cm="1">
        <f t="array" ref="H186">VLOOKUP(Artifacts[[#This Row],[SOP]],_xlfn._xlws.FILTER(Roles[],Roles[Type of RACI]="I"),2,FALSE)</f>
        <v>Utvecklare</v>
      </c>
      <c r="I186" s="1" t="str">
        <f>VLOOKUP(Artifacts[[#This Row],[SOP]],SOP[#All],3,FALSE)</f>
        <v>Repeat</v>
      </c>
      <c r="J186" s="1" t="str">
        <f>VLOOKUP(Artifacts[[#This Row],[SOP]],SOP[#All],2,FALSE)</f>
        <v>Samla input för uppdaterad kravställning</v>
      </c>
    </row>
    <row r="187" spans="1:10" hidden="1" x14ac:dyDescent="0.2">
      <c r="A187" s="1" t="s">
        <v>111</v>
      </c>
      <c r="B187" s="1" t="s">
        <v>118</v>
      </c>
      <c r="C187" s="1" t="s">
        <v>9</v>
      </c>
      <c r="D187" s="1">
        <f>COUNTIFS(Artifacts[Artifact],Artifacts[[#This Row],[Artifact]],Artifacts[Input or output],"output")</f>
        <v>2</v>
      </c>
      <c r="E187" s="1" t="str" cm="1">
        <f t="array" ref="E187">VLOOKUP(Artifacts[[#This Row],[SOP]],_xlfn._xlws.FILTER(Roles[],Roles[Type of RACI]="R"),2,FALSE)</f>
        <v>Business Analyst</v>
      </c>
      <c r="F187" s="1" t="str" cm="1">
        <f t="array" ref="F187">VLOOKUP(Artifacts[[#This Row],[SOP]],_xlfn._xlws.FILTER(Roles[],Roles[Type of RACI]="A"),2,FALSE)</f>
        <v>Produktägare</v>
      </c>
      <c r="G187" s="1" t="str" cm="1">
        <f t="array" ref="G187">VLOOKUP(Artifacts[[#This Row],[SOP]],_xlfn._xlws.FILTER(Roles[],Roles[Type of RACI]="C"),2,FALSE)</f>
        <v>Verksamhetsexperter</v>
      </c>
      <c r="H187" s="1" t="str" cm="1">
        <f t="array" ref="H187">VLOOKUP(Artifacts[[#This Row],[SOP]],_xlfn._xlws.FILTER(Roles[],Roles[Type of RACI]="I"),2,FALSE)</f>
        <v>Utvecklare</v>
      </c>
      <c r="I187" s="1" t="str">
        <f>VLOOKUP(Artifacts[[#This Row],[SOP]],SOP[#All],3,FALSE)</f>
        <v>Repeat</v>
      </c>
      <c r="J187" s="1" t="str">
        <f>VLOOKUP(Artifacts[[#This Row],[SOP]],SOP[#All],2,FALSE)</f>
        <v>Samla input för uppdaterad kravställning</v>
      </c>
    </row>
    <row r="188" spans="1:10" hidden="1" x14ac:dyDescent="0.2">
      <c r="A188" s="1" t="s">
        <v>77</v>
      </c>
      <c r="B188" s="1" t="s">
        <v>118</v>
      </c>
      <c r="C188" s="1" t="s">
        <v>9</v>
      </c>
      <c r="D188" s="1">
        <f>COUNTIFS(Artifacts[Artifact],Artifacts[[#This Row],[Artifact]],Artifacts[Input or output],"output")</f>
        <v>1</v>
      </c>
      <c r="E188" s="1" t="str" cm="1">
        <f t="array" ref="E188">VLOOKUP(Artifacts[[#This Row],[SOP]],_xlfn._xlws.FILTER(Roles[],Roles[Type of RACI]="R"),2,FALSE)</f>
        <v>Business Analyst</v>
      </c>
      <c r="F188" s="1" t="str" cm="1">
        <f t="array" ref="F188">VLOOKUP(Artifacts[[#This Row],[SOP]],_xlfn._xlws.FILTER(Roles[],Roles[Type of RACI]="A"),2,FALSE)</f>
        <v>Produktägare</v>
      </c>
      <c r="G188" s="1" t="str" cm="1">
        <f t="array" ref="G188">VLOOKUP(Artifacts[[#This Row],[SOP]],_xlfn._xlws.FILTER(Roles[],Roles[Type of RACI]="C"),2,FALSE)</f>
        <v>Verksamhetsexperter</v>
      </c>
      <c r="H188" s="1" t="str" cm="1">
        <f t="array" ref="H188">VLOOKUP(Artifacts[[#This Row],[SOP]],_xlfn._xlws.FILTER(Roles[],Roles[Type of RACI]="I"),2,FALSE)</f>
        <v>Utvecklare</v>
      </c>
      <c r="I188" s="1" t="str">
        <f>VLOOKUP(Artifacts[[#This Row],[SOP]],SOP[#All],3,FALSE)</f>
        <v>Repeat</v>
      </c>
      <c r="J188" s="1" t="str">
        <f>VLOOKUP(Artifacts[[#This Row],[SOP]],SOP[#All],2,FALSE)</f>
        <v>Samla input för uppdaterad kravställning</v>
      </c>
    </row>
    <row r="189" spans="1:10" hidden="1" x14ac:dyDescent="0.2">
      <c r="A189" s="1" t="s">
        <v>110</v>
      </c>
      <c r="B189" s="1" t="s">
        <v>118</v>
      </c>
      <c r="C189" s="1" t="s">
        <v>9</v>
      </c>
      <c r="D189" s="1">
        <f>COUNTIFS(Artifacts[Artifact],Artifacts[[#This Row],[Artifact]],Artifacts[Input or output],"output")</f>
        <v>1</v>
      </c>
      <c r="E189" s="1" t="str" cm="1">
        <f t="array" ref="E189">VLOOKUP(Artifacts[[#This Row],[SOP]],_xlfn._xlws.FILTER(Roles[],Roles[Type of RACI]="R"),2,FALSE)</f>
        <v>Business Analyst</v>
      </c>
      <c r="F189" s="1" t="str" cm="1">
        <f t="array" ref="F189">VLOOKUP(Artifacts[[#This Row],[SOP]],_xlfn._xlws.FILTER(Roles[],Roles[Type of RACI]="A"),2,FALSE)</f>
        <v>Produktägare</v>
      </c>
      <c r="G189" s="1" t="str" cm="1">
        <f t="array" ref="G189">VLOOKUP(Artifacts[[#This Row],[SOP]],_xlfn._xlws.FILTER(Roles[],Roles[Type of RACI]="C"),2,FALSE)</f>
        <v>Verksamhetsexperter</v>
      </c>
      <c r="H189" s="1" t="str" cm="1">
        <f t="array" ref="H189">VLOOKUP(Artifacts[[#This Row],[SOP]],_xlfn._xlws.FILTER(Roles[],Roles[Type of RACI]="I"),2,FALSE)</f>
        <v>Utvecklare</v>
      </c>
      <c r="I189" s="1" t="str">
        <f>VLOOKUP(Artifacts[[#This Row],[SOP]],SOP[#All],3,FALSE)</f>
        <v>Repeat</v>
      </c>
      <c r="J189" s="1" t="str">
        <f>VLOOKUP(Artifacts[[#This Row],[SOP]],SOP[#All],2,FALSE)</f>
        <v>Samla input för uppdaterad kravställning</v>
      </c>
    </row>
    <row r="190" spans="1:10" hidden="1" x14ac:dyDescent="0.2">
      <c r="A190" s="1" t="s">
        <v>7</v>
      </c>
      <c r="B190" s="1" t="s">
        <v>118</v>
      </c>
      <c r="C190" s="1" t="s">
        <v>9</v>
      </c>
      <c r="D190" s="1">
        <f>COUNTIFS(Artifacts[Artifact],Artifacts[[#This Row],[Artifact]],Artifacts[Input or output],"output")</f>
        <v>1</v>
      </c>
      <c r="E190" s="1" t="str" cm="1">
        <f t="array" ref="E190">VLOOKUP(Artifacts[[#This Row],[SOP]],_xlfn._xlws.FILTER(Roles[],Roles[Type of RACI]="R"),2,FALSE)</f>
        <v>Business Analyst</v>
      </c>
      <c r="F190" s="1" t="str" cm="1">
        <f t="array" ref="F190">VLOOKUP(Artifacts[[#This Row],[SOP]],_xlfn._xlws.FILTER(Roles[],Roles[Type of RACI]="A"),2,FALSE)</f>
        <v>Produktägare</v>
      </c>
      <c r="G190" s="1" t="str" cm="1">
        <f t="array" ref="G190">VLOOKUP(Artifacts[[#This Row],[SOP]],_xlfn._xlws.FILTER(Roles[],Roles[Type of RACI]="C"),2,FALSE)</f>
        <v>Verksamhetsexperter</v>
      </c>
      <c r="H190" s="1" t="str" cm="1">
        <f t="array" ref="H190">VLOOKUP(Artifacts[[#This Row],[SOP]],_xlfn._xlws.FILTER(Roles[],Roles[Type of RACI]="I"),2,FALSE)</f>
        <v>Utvecklare</v>
      </c>
      <c r="I190" s="1" t="str">
        <f>VLOOKUP(Artifacts[[#This Row],[SOP]],SOP[#All],3,FALSE)</f>
        <v>Repeat</v>
      </c>
      <c r="J190" s="1" t="str">
        <f>VLOOKUP(Artifacts[[#This Row],[SOP]],SOP[#All],2,FALSE)</f>
        <v>Samla input för uppdaterad kravställning</v>
      </c>
    </row>
    <row r="191" spans="1:10" hidden="1" x14ac:dyDescent="0.2">
      <c r="A191" s="1" t="s">
        <v>110</v>
      </c>
      <c r="B191" s="1" t="s">
        <v>118</v>
      </c>
      <c r="C191" s="1" t="s">
        <v>9</v>
      </c>
      <c r="D191" s="1">
        <f>COUNTIFS(Artifacts[Artifact],Artifacts[[#This Row],[Artifact]],Artifacts[Input or output],"output")</f>
        <v>1</v>
      </c>
      <c r="E191" s="1" t="str" cm="1">
        <f t="array" ref="E191">VLOOKUP(Artifacts[[#This Row],[SOP]],_xlfn._xlws.FILTER(Roles[],Roles[Type of RACI]="R"),2,FALSE)</f>
        <v>Business Analyst</v>
      </c>
      <c r="F191" s="1" t="str" cm="1">
        <f t="array" ref="F191">VLOOKUP(Artifacts[[#This Row],[SOP]],_xlfn._xlws.FILTER(Roles[],Roles[Type of RACI]="A"),2,FALSE)</f>
        <v>Produktägare</v>
      </c>
      <c r="G191" s="1" t="str" cm="1">
        <f t="array" ref="G191">VLOOKUP(Artifacts[[#This Row],[SOP]],_xlfn._xlws.FILTER(Roles[],Roles[Type of RACI]="C"),2,FALSE)</f>
        <v>Verksamhetsexperter</v>
      </c>
      <c r="H191" s="1" t="str" cm="1">
        <f t="array" ref="H191">VLOOKUP(Artifacts[[#This Row],[SOP]],_xlfn._xlws.FILTER(Roles[],Roles[Type of RACI]="I"),2,FALSE)</f>
        <v>Utvecklare</v>
      </c>
      <c r="I191" s="1" t="str">
        <f>VLOOKUP(Artifacts[[#This Row],[SOP]],SOP[#All],3,FALSE)</f>
        <v>Repeat</v>
      </c>
      <c r="J191" s="1" t="str">
        <f>VLOOKUP(Artifacts[[#This Row],[SOP]],SOP[#All],2,FALSE)</f>
        <v>Samla input för uppdaterad kravställning</v>
      </c>
    </row>
    <row r="192" spans="1:10" x14ac:dyDescent="0.2">
      <c r="A192" s="1" t="s">
        <v>119</v>
      </c>
      <c r="B192" s="1" t="s">
        <v>118</v>
      </c>
      <c r="C192" s="1" t="s">
        <v>11</v>
      </c>
      <c r="D192" s="1">
        <f>COUNTIFS(Artifacts[Artifact],Artifacts[[#This Row],[Artifact]],Artifacts[Input or output],"output")</f>
        <v>2</v>
      </c>
      <c r="E192" s="1" t="str" cm="1">
        <f t="array" ref="E192">VLOOKUP(Artifacts[[#This Row],[SOP]],_xlfn._xlws.FILTER(Roles[],Roles[Type of RACI]="R"),2,FALSE)</f>
        <v>Business Analyst</v>
      </c>
      <c r="F192" s="1" t="str" cm="1">
        <f t="array" ref="F192">VLOOKUP(Artifacts[[#This Row],[SOP]],_xlfn._xlws.FILTER(Roles[],Roles[Type of RACI]="A"),2,FALSE)</f>
        <v>Produktägare</v>
      </c>
      <c r="G192" s="1" t="str" cm="1">
        <f t="array" ref="G192">VLOOKUP(Artifacts[[#This Row],[SOP]],_xlfn._xlws.FILTER(Roles[],Roles[Type of RACI]="C"),2,FALSE)</f>
        <v>Verksamhetsexperter</v>
      </c>
      <c r="H192" s="1" t="str" cm="1">
        <f t="array" ref="H192">VLOOKUP(Artifacts[[#This Row],[SOP]],_xlfn._xlws.FILTER(Roles[],Roles[Type of RACI]="I"),2,FALSE)</f>
        <v>Utvecklare</v>
      </c>
      <c r="I192" s="1" t="str">
        <f>VLOOKUP(Artifacts[[#This Row],[SOP]],SOP[#All],3,FALSE)</f>
        <v>Repeat</v>
      </c>
      <c r="J192" s="1" t="str">
        <f>VLOOKUP(Artifacts[[#This Row],[SOP]],SOP[#All],2,FALSE)</f>
        <v>Samla input för uppdaterad kravställning</v>
      </c>
    </row>
    <row r="193" spans="1:10" hidden="1" x14ac:dyDescent="0.2">
      <c r="A193" s="1" t="s">
        <v>116</v>
      </c>
      <c r="B193" s="1" t="s">
        <v>120</v>
      </c>
      <c r="C193" s="1" t="s">
        <v>9</v>
      </c>
      <c r="D193" s="1">
        <f>COUNTIFS(Artifacts[Artifact],Artifacts[[#This Row],[Artifact]],Artifacts[Input or output],"output")</f>
        <v>0</v>
      </c>
      <c r="E193" s="1" t="str" cm="1">
        <f t="array" ref="E193">VLOOKUP(Artifacts[[#This Row],[SOP]],_xlfn._xlws.FILTER(Roles[],Roles[Type of RACI]="R"),2,FALSE)</f>
        <v>Lösningsarkitekt</v>
      </c>
      <c r="F193" s="1" t="str" cm="1">
        <f t="array" ref="F193">VLOOKUP(Artifacts[[#This Row],[SOP]],_xlfn._xlws.FILTER(Roles[],Roles[Type of RACI]="A"),2,FALSE)</f>
        <v>Enterprise Arkitekt</v>
      </c>
      <c r="G193" s="1" t="str" cm="1">
        <f t="array" ref="G193">VLOOKUP(Artifacts[[#This Row],[SOP]],_xlfn._xlws.FILTER(Roles[],Roles[Type of RACI]="C"),2,FALSE)</f>
        <v>Teknisk Lead</v>
      </c>
      <c r="H193" s="1" t="str" cm="1">
        <f t="array" ref="H193">VLOOKUP(Artifacts[[#This Row],[SOP]],_xlfn._xlws.FILTER(Roles[],Roles[Type of RACI]="I"),2,FALSE)</f>
        <v>Produktägare</v>
      </c>
      <c r="I193" s="1" t="str">
        <f>VLOOKUP(Artifacts[[#This Row],[SOP]],SOP[#All],3,FALSE)</f>
        <v>Repeat</v>
      </c>
      <c r="J193" s="1" t="str">
        <f>VLOOKUP(Artifacts[[#This Row],[SOP]],SOP[#All],2,FALSE)</f>
        <v>Identifiera arkitekturella lärdomar</v>
      </c>
    </row>
    <row r="194" spans="1:10" hidden="1" x14ac:dyDescent="0.2">
      <c r="A194" s="1" t="s">
        <v>116</v>
      </c>
      <c r="B194" s="1" t="s">
        <v>120</v>
      </c>
      <c r="C194" s="1" t="s">
        <v>9</v>
      </c>
      <c r="D194" s="1">
        <f>COUNTIFS(Artifacts[Artifact],Artifacts[[#This Row],[Artifact]],Artifacts[Input or output],"output")</f>
        <v>0</v>
      </c>
      <c r="E194" s="1" t="str" cm="1">
        <f t="array" ref="E194">VLOOKUP(Artifacts[[#This Row],[SOP]],_xlfn._xlws.FILTER(Roles[],Roles[Type of RACI]="R"),2,FALSE)</f>
        <v>Lösningsarkitekt</v>
      </c>
      <c r="F194" s="1" t="str" cm="1">
        <f t="array" ref="F194">VLOOKUP(Artifacts[[#This Row],[SOP]],_xlfn._xlws.FILTER(Roles[],Roles[Type of RACI]="A"),2,FALSE)</f>
        <v>Enterprise Arkitekt</v>
      </c>
      <c r="G194" s="1" t="str" cm="1">
        <f t="array" ref="G194">VLOOKUP(Artifacts[[#This Row],[SOP]],_xlfn._xlws.FILTER(Roles[],Roles[Type of RACI]="C"),2,FALSE)</f>
        <v>Teknisk Lead</v>
      </c>
      <c r="H194" s="1" t="str" cm="1">
        <f t="array" ref="H194">VLOOKUP(Artifacts[[#This Row],[SOP]],_xlfn._xlws.FILTER(Roles[],Roles[Type of RACI]="I"),2,FALSE)</f>
        <v>Produktägare</v>
      </c>
      <c r="I194" s="1" t="str">
        <f>VLOOKUP(Artifacts[[#This Row],[SOP]],SOP[#All],3,FALSE)</f>
        <v>Repeat</v>
      </c>
      <c r="J194" s="1" t="str">
        <f>VLOOKUP(Artifacts[[#This Row],[SOP]],SOP[#All],2,FALSE)</f>
        <v>Identifiera arkitekturella lärdomar</v>
      </c>
    </row>
    <row r="195" spans="1:10" hidden="1" x14ac:dyDescent="0.2">
      <c r="A195" s="1" t="s">
        <v>113</v>
      </c>
      <c r="B195" s="1" t="s">
        <v>120</v>
      </c>
      <c r="C195" s="1" t="s">
        <v>9</v>
      </c>
      <c r="D195" s="1">
        <f>COUNTIFS(Artifacts[Artifact],Artifacts[[#This Row],[Artifact]],Artifacts[Input or output],"output")</f>
        <v>1</v>
      </c>
      <c r="E195" s="1" t="str" cm="1">
        <f t="array" ref="E195">VLOOKUP(Artifacts[[#This Row],[SOP]],_xlfn._xlws.FILTER(Roles[],Roles[Type of RACI]="R"),2,FALSE)</f>
        <v>Lösningsarkitekt</v>
      </c>
      <c r="F195" s="1" t="str" cm="1">
        <f t="array" ref="F195">VLOOKUP(Artifacts[[#This Row],[SOP]],_xlfn._xlws.FILTER(Roles[],Roles[Type of RACI]="A"),2,FALSE)</f>
        <v>Enterprise Arkitekt</v>
      </c>
      <c r="G195" s="1" t="str" cm="1">
        <f t="array" ref="G195">VLOOKUP(Artifacts[[#This Row],[SOP]],_xlfn._xlws.FILTER(Roles[],Roles[Type of RACI]="C"),2,FALSE)</f>
        <v>Teknisk Lead</v>
      </c>
      <c r="H195" s="1" t="str" cm="1">
        <f t="array" ref="H195">VLOOKUP(Artifacts[[#This Row],[SOP]],_xlfn._xlws.FILTER(Roles[],Roles[Type of RACI]="I"),2,FALSE)</f>
        <v>Produktägare</v>
      </c>
      <c r="I195" s="1" t="str">
        <f>VLOOKUP(Artifacts[[#This Row],[SOP]],SOP[#All],3,FALSE)</f>
        <v>Repeat</v>
      </c>
      <c r="J195" s="1" t="str">
        <f>VLOOKUP(Artifacts[[#This Row],[SOP]],SOP[#All],2,FALSE)</f>
        <v>Identifiera arkitekturella lärdomar</v>
      </c>
    </row>
    <row r="196" spans="1:10" x14ac:dyDescent="0.2">
      <c r="A196" s="1" t="s">
        <v>78</v>
      </c>
      <c r="B196" s="1" t="s">
        <v>120</v>
      </c>
      <c r="C196" s="1" t="s">
        <v>11</v>
      </c>
      <c r="D196" s="1">
        <f>COUNTIFS(Artifacts[Artifact],Artifacts[[#This Row],[Artifact]],Artifacts[Input or output],"output")</f>
        <v>1</v>
      </c>
      <c r="E196" s="1" t="str" cm="1">
        <f t="array" ref="E196">VLOOKUP(Artifacts[[#This Row],[SOP]],_xlfn._xlws.FILTER(Roles[],Roles[Type of RACI]="R"),2,FALSE)</f>
        <v>Lösningsarkitekt</v>
      </c>
      <c r="F196" s="1" t="str" cm="1">
        <f t="array" ref="F196">VLOOKUP(Artifacts[[#This Row],[SOP]],_xlfn._xlws.FILTER(Roles[],Roles[Type of RACI]="A"),2,FALSE)</f>
        <v>Enterprise Arkitekt</v>
      </c>
      <c r="G196" s="1" t="str" cm="1">
        <f t="array" ref="G196">VLOOKUP(Artifacts[[#This Row],[SOP]],_xlfn._xlws.FILTER(Roles[],Roles[Type of RACI]="C"),2,FALSE)</f>
        <v>Teknisk Lead</v>
      </c>
      <c r="H196" s="1" t="str" cm="1">
        <f t="array" ref="H196">VLOOKUP(Artifacts[[#This Row],[SOP]],_xlfn._xlws.FILTER(Roles[],Roles[Type of RACI]="I"),2,FALSE)</f>
        <v>Produktägare</v>
      </c>
      <c r="I196" s="1" t="str">
        <f>VLOOKUP(Artifacts[[#This Row],[SOP]],SOP[#All],3,FALSE)</f>
        <v>Repeat</v>
      </c>
      <c r="J196" s="1" t="str">
        <f>VLOOKUP(Artifacts[[#This Row],[SOP]],SOP[#All],2,FALSE)</f>
        <v>Identifiera arkitekturella lärdomar</v>
      </c>
    </row>
    <row r="197" spans="1:10" x14ac:dyDescent="0.2">
      <c r="A197" s="1" t="s">
        <v>121</v>
      </c>
      <c r="B197" s="1" t="s">
        <v>120</v>
      </c>
      <c r="C197" s="1" t="s">
        <v>11</v>
      </c>
      <c r="D197" s="1">
        <f>COUNTIFS(Artifacts[Artifact],Artifacts[[#This Row],[Artifact]],Artifacts[Input or output],"output")</f>
        <v>1</v>
      </c>
      <c r="E197" s="1" t="str" cm="1">
        <f t="array" ref="E197">VLOOKUP(Artifacts[[#This Row],[SOP]],_xlfn._xlws.FILTER(Roles[],Roles[Type of RACI]="R"),2,FALSE)</f>
        <v>Lösningsarkitekt</v>
      </c>
      <c r="F197" s="1" t="str" cm="1">
        <f t="array" ref="F197">VLOOKUP(Artifacts[[#This Row],[SOP]],_xlfn._xlws.FILTER(Roles[],Roles[Type of RACI]="A"),2,FALSE)</f>
        <v>Enterprise Arkitekt</v>
      </c>
      <c r="G197" s="1" t="str" cm="1">
        <f t="array" ref="G197">VLOOKUP(Artifacts[[#This Row],[SOP]],_xlfn._xlws.FILTER(Roles[],Roles[Type of RACI]="C"),2,FALSE)</f>
        <v>Teknisk Lead</v>
      </c>
      <c r="H197" s="1" t="str" cm="1">
        <f t="array" ref="H197">VLOOKUP(Artifacts[[#This Row],[SOP]],_xlfn._xlws.FILTER(Roles[],Roles[Type of RACI]="I"),2,FALSE)</f>
        <v>Produktägare</v>
      </c>
      <c r="I197" s="1" t="str">
        <f>VLOOKUP(Artifacts[[#This Row],[SOP]],SOP[#All],3,FALSE)</f>
        <v>Repeat</v>
      </c>
      <c r="J197" s="1" t="str">
        <f>VLOOKUP(Artifacts[[#This Row],[SOP]],SOP[#All],2,FALSE)</f>
        <v>Identifiera arkitekturella lärdomar</v>
      </c>
    </row>
    <row r="198" spans="1:10" hidden="1" x14ac:dyDescent="0.2">
      <c r="A198" s="1" t="s">
        <v>78</v>
      </c>
      <c r="B198" s="1" t="s">
        <v>122</v>
      </c>
      <c r="C198" s="1" t="s">
        <v>9</v>
      </c>
      <c r="D198" s="1">
        <f>COUNTIFS(Artifacts[Artifact],Artifacts[[#This Row],[Artifact]],Artifacts[Input or output],"output")</f>
        <v>1</v>
      </c>
      <c r="E198" s="1" t="str" cm="1">
        <f t="array" ref="E198">VLOOKUP(Artifacts[[#This Row],[SOP]],_xlfn._xlws.FILTER(Roles[],Roles[Type of RACI]="R"),2,FALSE)</f>
        <v>Business Analyst</v>
      </c>
      <c r="F198" s="1" t="str" cm="1">
        <f t="array" ref="F198">VLOOKUP(Artifacts[[#This Row],[SOP]],_xlfn._xlws.FILTER(Roles[],Roles[Type of RACI]="A"),2,FALSE)</f>
        <v>Produktägare</v>
      </c>
      <c r="G198" s="1" t="str" cm="1">
        <f t="array" ref="G198">VLOOKUP(Artifacts[[#This Row],[SOP]],_xlfn._xlws.FILTER(Roles[],Roles[Type of RACI]="C"),2,FALSE)</f>
        <v>Lösningsarkitekt</v>
      </c>
      <c r="H198" s="1" t="str" cm="1">
        <f t="array" ref="H198">VLOOKUP(Artifacts[[#This Row],[SOP]],_xlfn._xlws.FILTER(Roles[],Roles[Type of RACI]="I"),2,FALSE)</f>
        <v>Utvecklare</v>
      </c>
      <c r="I198" s="1" t="str">
        <f>VLOOKUP(Artifacts[[#This Row],[SOP]],SOP[#All],3,FALSE)</f>
        <v>Repeat</v>
      </c>
      <c r="J198" s="1" t="str">
        <f>VLOOKUP(Artifacts[[#This Row],[SOP]],SOP[#All],2,FALSE)</f>
        <v>Förbereda nästa roadmap-iteration</v>
      </c>
    </row>
    <row r="199" spans="1:10" hidden="1" x14ac:dyDescent="0.2">
      <c r="A199" s="1" t="s">
        <v>19</v>
      </c>
      <c r="B199" s="1" t="s">
        <v>122</v>
      </c>
      <c r="C199" s="1" t="s">
        <v>9</v>
      </c>
      <c r="D199" s="1">
        <f>COUNTIFS(Artifacts[Artifact],Artifacts[[#This Row],[Artifact]],Artifacts[Input or output],"output")</f>
        <v>2</v>
      </c>
      <c r="E199" s="1" t="str" cm="1">
        <f t="array" ref="E199">VLOOKUP(Artifacts[[#This Row],[SOP]],_xlfn._xlws.FILTER(Roles[],Roles[Type of RACI]="R"),2,FALSE)</f>
        <v>Business Analyst</v>
      </c>
      <c r="F199" s="1" t="str" cm="1">
        <f t="array" ref="F199">VLOOKUP(Artifacts[[#This Row],[SOP]],_xlfn._xlws.FILTER(Roles[],Roles[Type of RACI]="A"),2,FALSE)</f>
        <v>Produktägare</v>
      </c>
      <c r="G199" s="1" t="str" cm="1">
        <f t="array" ref="G199">VLOOKUP(Artifacts[[#This Row],[SOP]],_xlfn._xlws.FILTER(Roles[],Roles[Type of RACI]="C"),2,FALSE)</f>
        <v>Lösningsarkitekt</v>
      </c>
      <c r="H199" s="1" t="str" cm="1">
        <f t="array" ref="H199">VLOOKUP(Artifacts[[#This Row],[SOP]],_xlfn._xlws.FILTER(Roles[],Roles[Type of RACI]="I"),2,FALSE)</f>
        <v>Utvecklare</v>
      </c>
      <c r="I199" s="1" t="str">
        <f>VLOOKUP(Artifacts[[#This Row],[SOP]],SOP[#All],3,FALSE)</f>
        <v>Repeat</v>
      </c>
      <c r="J199" s="1" t="str">
        <f>VLOOKUP(Artifacts[[#This Row],[SOP]],SOP[#All],2,FALSE)</f>
        <v>Förbereda nästa roadmap-iteration</v>
      </c>
    </row>
    <row r="200" spans="1:10" hidden="1" x14ac:dyDescent="0.2">
      <c r="A200" s="1" t="s">
        <v>33</v>
      </c>
      <c r="B200" s="1" t="s">
        <v>122</v>
      </c>
      <c r="C200" s="1" t="s">
        <v>9</v>
      </c>
      <c r="D200" s="1">
        <f>COUNTIFS(Artifacts[Artifact],Artifacts[[#This Row],[Artifact]],Artifacts[Input or output],"output")</f>
        <v>0</v>
      </c>
      <c r="E200" s="1" t="str" cm="1">
        <f t="array" ref="E200">VLOOKUP(Artifacts[[#This Row],[SOP]],_xlfn._xlws.FILTER(Roles[],Roles[Type of RACI]="R"),2,FALSE)</f>
        <v>Business Analyst</v>
      </c>
      <c r="F200" s="1" t="str" cm="1">
        <f t="array" ref="F200">VLOOKUP(Artifacts[[#This Row],[SOP]],_xlfn._xlws.FILTER(Roles[],Roles[Type of RACI]="A"),2,FALSE)</f>
        <v>Produktägare</v>
      </c>
      <c r="G200" s="1" t="str" cm="1">
        <f t="array" ref="G200">VLOOKUP(Artifacts[[#This Row],[SOP]],_xlfn._xlws.FILTER(Roles[],Roles[Type of RACI]="C"),2,FALSE)</f>
        <v>Lösningsarkitekt</v>
      </c>
      <c r="H200" s="1" t="str" cm="1">
        <f t="array" ref="H200">VLOOKUP(Artifacts[[#This Row],[SOP]],_xlfn._xlws.FILTER(Roles[],Roles[Type of RACI]="I"),2,FALSE)</f>
        <v>Utvecklare</v>
      </c>
      <c r="I200" s="1" t="str">
        <f>VLOOKUP(Artifacts[[#This Row],[SOP]],SOP[#All],3,FALSE)</f>
        <v>Repeat</v>
      </c>
      <c r="J200" s="1" t="str">
        <f>VLOOKUP(Artifacts[[#This Row],[SOP]],SOP[#All],2,FALSE)</f>
        <v>Förbereda nästa roadmap-iteration</v>
      </c>
    </row>
    <row r="201" spans="1:10" hidden="1" x14ac:dyDescent="0.2">
      <c r="A201" s="1" t="s">
        <v>34</v>
      </c>
      <c r="B201" s="1" t="s">
        <v>122</v>
      </c>
      <c r="C201" s="1" t="s">
        <v>9</v>
      </c>
      <c r="D201" s="1">
        <f>COUNTIFS(Artifacts[Artifact],Artifacts[[#This Row],[Artifact]],Artifacts[Input or output],"output")</f>
        <v>2</v>
      </c>
      <c r="E201" s="1" t="str" cm="1">
        <f t="array" ref="E201">VLOOKUP(Artifacts[[#This Row],[SOP]],_xlfn._xlws.FILTER(Roles[],Roles[Type of RACI]="R"),2,FALSE)</f>
        <v>Business Analyst</v>
      </c>
      <c r="F201" s="1" t="str" cm="1">
        <f t="array" ref="F201">VLOOKUP(Artifacts[[#This Row],[SOP]],_xlfn._xlws.FILTER(Roles[],Roles[Type of RACI]="A"),2,FALSE)</f>
        <v>Produktägare</v>
      </c>
      <c r="G201" s="1" t="str" cm="1">
        <f t="array" ref="G201">VLOOKUP(Artifacts[[#This Row],[SOP]],_xlfn._xlws.FILTER(Roles[],Roles[Type of RACI]="C"),2,FALSE)</f>
        <v>Lösningsarkitekt</v>
      </c>
      <c r="H201" s="1" t="str" cm="1">
        <f t="array" ref="H201">VLOOKUP(Artifacts[[#This Row],[SOP]],_xlfn._xlws.FILTER(Roles[],Roles[Type of RACI]="I"),2,FALSE)</f>
        <v>Utvecklare</v>
      </c>
      <c r="I201" s="1" t="str">
        <f>VLOOKUP(Artifacts[[#This Row],[SOP]],SOP[#All],3,FALSE)</f>
        <v>Repeat</v>
      </c>
      <c r="J201" s="1" t="str">
        <f>VLOOKUP(Artifacts[[#This Row],[SOP]],SOP[#All],2,FALSE)</f>
        <v>Förbereda nästa roadmap-iteration</v>
      </c>
    </row>
    <row r="202" spans="1:10" x14ac:dyDescent="0.2">
      <c r="A202" s="1" t="s">
        <v>123</v>
      </c>
      <c r="B202" s="1" t="s">
        <v>122</v>
      </c>
      <c r="C202" s="1" t="s">
        <v>11</v>
      </c>
      <c r="D202" s="1">
        <f>COUNTIFS(Artifacts[Artifact],Artifacts[[#This Row],[Artifact]],Artifacts[Input or output],"output")</f>
        <v>1</v>
      </c>
      <c r="E202" s="1" t="str" cm="1">
        <f t="array" ref="E202">VLOOKUP(Artifacts[[#This Row],[SOP]],_xlfn._xlws.FILTER(Roles[],Roles[Type of RACI]="R"),2,FALSE)</f>
        <v>Business Analyst</v>
      </c>
      <c r="F202" s="1" t="str" cm="1">
        <f t="array" ref="F202">VLOOKUP(Artifacts[[#This Row],[SOP]],_xlfn._xlws.FILTER(Roles[],Roles[Type of RACI]="A"),2,FALSE)</f>
        <v>Produktägare</v>
      </c>
      <c r="G202" s="1" t="str" cm="1">
        <f t="array" ref="G202">VLOOKUP(Artifacts[[#This Row],[SOP]],_xlfn._xlws.FILTER(Roles[],Roles[Type of RACI]="C"),2,FALSE)</f>
        <v>Lösningsarkitekt</v>
      </c>
      <c r="H202" s="1" t="str" cm="1">
        <f t="array" ref="H202">VLOOKUP(Artifacts[[#This Row],[SOP]],_xlfn._xlws.FILTER(Roles[],Roles[Type of RACI]="I"),2,FALSE)</f>
        <v>Utvecklare</v>
      </c>
      <c r="I202" s="1" t="str">
        <f>VLOOKUP(Artifacts[[#This Row],[SOP]],SOP[#All],3,FALSE)</f>
        <v>Repeat</v>
      </c>
      <c r="J202" s="1" t="str">
        <f>VLOOKUP(Artifacts[[#This Row],[SOP]],SOP[#All],2,FALSE)</f>
        <v>Förbereda nästa roadmap-iteration</v>
      </c>
    </row>
    <row r="203" spans="1:10" x14ac:dyDescent="0.2">
      <c r="A203" s="1" t="s">
        <v>124</v>
      </c>
      <c r="B203" s="1" t="s">
        <v>122</v>
      </c>
      <c r="C203" s="1" t="s">
        <v>11</v>
      </c>
      <c r="D203" s="1">
        <f>COUNTIFS(Artifacts[Artifact],Artifacts[[#This Row],[Artifact]],Artifacts[Input or output],"output")</f>
        <v>1</v>
      </c>
      <c r="E203" s="1" t="str" cm="1">
        <f t="array" ref="E203">VLOOKUP(Artifacts[[#This Row],[SOP]],_xlfn._xlws.FILTER(Roles[],Roles[Type of RACI]="R"),2,FALSE)</f>
        <v>Business Analyst</v>
      </c>
      <c r="F203" s="1" t="str" cm="1">
        <f t="array" ref="F203">VLOOKUP(Artifacts[[#This Row],[SOP]],_xlfn._xlws.FILTER(Roles[],Roles[Type of RACI]="A"),2,FALSE)</f>
        <v>Produktägare</v>
      </c>
      <c r="G203" s="1" t="str" cm="1">
        <f t="array" ref="G203">VLOOKUP(Artifacts[[#This Row],[SOP]],_xlfn._xlws.FILTER(Roles[],Roles[Type of RACI]="C"),2,FALSE)</f>
        <v>Lösningsarkitekt</v>
      </c>
      <c r="H203" s="1" t="str" cm="1">
        <f t="array" ref="H203">VLOOKUP(Artifacts[[#This Row],[SOP]],_xlfn._xlws.FILTER(Roles[],Roles[Type of RACI]="I"),2,FALSE)</f>
        <v>Utvecklare</v>
      </c>
      <c r="I203" s="1" t="str">
        <f>VLOOKUP(Artifacts[[#This Row],[SOP]],SOP[#All],3,FALSE)</f>
        <v>Repeat</v>
      </c>
      <c r="J203" s="1" t="str">
        <f>VLOOKUP(Artifacts[[#This Row],[SOP]],SOP[#All],2,FALSE)</f>
        <v>Förbereda nästa roadmap-iteration</v>
      </c>
    </row>
    <row r="204" spans="1:10" hidden="1" x14ac:dyDescent="0.2">
      <c r="A204" s="1" t="s">
        <v>78</v>
      </c>
      <c r="B204" s="1" t="s">
        <v>125</v>
      </c>
      <c r="C204" s="1" t="s">
        <v>9</v>
      </c>
      <c r="D204" s="1">
        <f>COUNTIFS(Artifacts[Artifact],Artifacts[[#This Row],[Artifact]],Artifacts[Input or output],"output")</f>
        <v>1</v>
      </c>
      <c r="E204" s="1" t="str" cm="1">
        <f t="array" ref="E204">VLOOKUP(Artifacts[[#This Row],[SOP]],_xlfn._xlws.FILTER(Roles[],Roles[Type of RACI]="R"),2,FALSE)</f>
        <v>Business Analyst</v>
      </c>
      <c r="F204" s="1" t="str" cm="1">
        <f t="array" ref="F204">VLOOKUP(Artifacts[[#This Row],[SOP]],_xlfn._xlws.FILTER(Roles[],Roles[Type of RACI]="A"),2,FALSE)</f>
        <v>Produktägare</v>
      </c>
      <c r="G204" s="1" t="str" cm="1">
        <f t="array" ref="G204">VLOOKUP(Artifacts[[#This Row],[SOP]],_xlfn._xlws.FILTER(Roles[],Roles[Type of RACI]="C"),2,FALSE)</f>
        <v>Lösningsarkitekt</v>
      </c>
      <c r="H204" s="1" t="str" cm="1">
        <f t="array" ref="H204">VLOOKUP(Artifacts[[#This Row],[SOP]],_xlfn._xlws.FILTER(Roles[],Roles[Type of RACI]="I"),2,FALSE)</f>
        <v>Utvecklare</v>
      </c>
      <c r="I204" s="1" t="str">
        <f>VLOOKUP(Artifacts[[#This Row],[SOP]],SOP[#All],3,FALSE)</f>
        <v>Repeat</v>
      </c>
      <c r="J204" s="1" t="str">
        <f>VLOOKUP(Artifacts[[#This Row],[SOP]],SOP[#All],2,FALSE)</f>
        <v>Förbereda nästa cykel</v>
      </c>
    </row>
    <row r="205" spans="1:10" hidden="1" x14ac:dyDescent="0.2">
      <c r="A205" s="1" t="s">
        <v>123</v>
      </c>
      <c r="B205" s="1" t="s">
        <v>125</v>
      </c>
      <c r="C205" s="1" t="s">
        <v>9</v>
      </c>
      <c r="D205" s="1">
        <f>COUNTIFS(Artifacts[Artifact],Artifacts[[#This Row],[Artifact]],Artifacts[Input or output],"output")</f>
        <v>1</v>
      </c>
      <c r="E205" s="1" t="str" cm="1">
        <f t="array" ref="E205">VLOOKUP(Artifacts[[#This Row],[SOP]],_xlfn._xlws.FILTER(Roles[],Roles[Type of RACI]="R"),2,FALSE)</f>
        <v>Business Analyst</v>
      </c>
      <c r="F205" s="1" t="str" cm="1">
        <f t="array" ref="F205">VLOOKUP(Artifacts[[#This Row],[SOP]],_xlfn._xlws.FILTER(Roles[],Roles[Type of RACI]="A"),2,FALSE)</f>
        <v>Produktägare</v>
      </c>
      <c r="G205" s="1" t="str" cm="1">
        <f t="array" ref="G205">VLOOKUP(Artifacts[[#This Row],[SOP]],_xlfn._xlws.FILTER(Roles[],Roles[Type of RACI]="C"),2,FALSE)</f>
        <v>Lösningsarkitekt</v>
      </c>
      <c r="H205" s="1" t="str" cm="1">
        <f t="array" ref="H205">VLOOKUP(Artifacts[[#This Row],[SOP]],_xlfn._xlws.FILTER(Roles[],Roles[Type of RACI]="I"),2,FALSE)</f>
        <v>Utvecklare</v>
      </c>
      <c r="I205" s="1" t="str">
        <f>VLOOKUP(Artifacts[[#This Row],[SOP]],SOP[#All],3,FALSE)</f>
        <v>Repeat</v>
      </c>
      <c r="J205" s="1" t="str">
        <f>VLOOKUP(Artifacts[[#This Row],[SOP]],SOP[#All],2,FALSE)</f>
        <v>Förbereda nästa cykel</v>
      </c>
    </row>
    <row r="206" spans="1:10" hidden="1" x14ac:dyDescent="0.2">
      <c r="A206" s="1" t="s">
        <v>110</v>
      </c>
      <c r="B206" s="1" t="s">
        <v>125</v>
      </c>
      <c r="C206" s="1" t="s">
        <v>9</v>
      </c>
      <c r="D206" s="1">
        <f>COUNTIFS(Artifacts[Artifact],Artifacts[[#This Row],[Artifact]],Artifacts[Input or output],"output")</f>
        <v>1</v>
      </c>
      <c r="E206" s="1" t="str" cm="1">
        <f t="array" ref="E206">VLOOKUP(Artifacts[[#This Row],[SOP]],_xlfn._xlws.FILTER(Roles[],Roles[Type of RACI]="R"),2,FALSE)</f>
        <v>Business Analyst</v>
      </c>
      <c r="F206" s="1" t="str" cm="1">
        <f t="array" ref="F206">VLOOKUP(Artifacts[[#This Row],[SOP]],_xlfn._xlws.FILTER(Roles[],Roles[Type of RACI]="A"),2,FALSE)</f>
        <v>Produktägare</v>
      </c>
      <c r="G206" s="1" t="str" cm="1">
        <f t="array" ref="G206">VLOOKUP(Artifacts[[#This Row],[SOP]],_xlfn._xlws.FILTER(Roles[],Roles[Type of RACI]="C"),2,FALSE)</f>
        <v>Lösningsarkitekt</v>
      </c>
      <c r="H206" s="1" t="str" cm="1">
        <f t="array" ref="H206">VLOOKUP(Artifacts[[#This Row],[SOP]],_xlfn._xlws.FILTER(Roles[],Roles[Type of RACI]="I"),2,FALSE)</f>
        <v>Utvecklare</v>
      </c>
      <c r="I206" s="1" t="str">
        <f>VLOOKUP(Artifacts[[#This Row],[SOP]],SOP[#All],3,FALSE)</f>
        <v>Repeat</v>
      </c>
      <c r="J206" s="1" t="str">
        <f>VLOOKUP(Artifacts[[#This Row],[SOP]],SOP[#All],2,FALSE)</f>
        <v>Förbereda nästa cykel</v>
      </c>
    </row>
    <row r="207" spans="1:10" x14ac:dyDescent="0.2">
      <c r="A207" s="1" t="s">
        <v>119</v>
      </c>
      <c r="B207" s="1" t="s">
        <v>125</v>
      </c>
      <c r="C207" s="1" t="s">
        <v>11</v>
      </c>
      <c r="D207" s="1">
        <f>COUNTIFS(Artifacts[Artifact],Artifacts[[#This Row],[Artifact]],Artifacts[Input or output],"output")</f>
        <v>2</v>
      </c>
      <c r="E207" s="1" t="str" cm="1">
        <f t="array" ref="E207">VLOOKUP(Artifacts[[#This Row],[SOP]],_xlfn._xlws.FILTER(Roles[],Roles[Type of RACI]="R"),2,FALSE)</f>
        <v>Business Analyst</v>
      </c>
      <c r="F207" s="1" t="str" cm="1">
        <f t="array" ref="F207">VLOOKUP(Artifacts[[#This Row],[SOP]],_xlfn._xlws.FILTER(Roles[],Roles[Type of RACI]="A"),2,FALSE)</f>
        <v>Produktägare</v>
      </c>
      <c r="G207" s="1" t="str" cm="1">
        <f t="array" ref="G207">VLOOKUP(Artifacts[[#This Row],[SOP]],_xlfn._xlws.FILTER(Roles[],Roles[Type of RACI]="C"),2,FALSE)</f>
        <v>Lösningsarkitekt</v>
      </c>
      <c r="H207" s="1" t="str" cm="1">
        <f t="array" ref="H207">VLOOKUP(Artifacts[[#This Row],[SOP]],_xlfn._xlws.FILTER(Roles[],Roles[Type of RACI]="I"),2,FALSE)</f>
        <v>Utvecklare</v>
      </c>
      <c r="I207" s="1" t="str">
        <f>VLOOKUP(Artifacts[[#This Row],[SOP]],SOP[#All],3,FALSE)</f>
        <v>Repeat</v>
      </c>
      <c r="J207" s="1" t="str">
        <f>VLOOKUP(Artifacts[[#This Row],[SOP]],SOP[#All],2,FALSE)</f>
        <v>Förbereda nästa cykel</v>
      </c>
    </row>
    <row r="208" spans="1:10" x14ac:dyDescent="0.2">
      <c r="A208" s="1" t="s">
        <v>126</v>
      </c>
      <c r="B208" s="1" t="s">
        <v>125</v>
      </c>
      <c r="C208" s="1" t="s">
        <v>11</v>
      </c>
      <c r="D208" s="1">
        <f>COUNTIFS(Artifacts[Artifact],Artifacts[[#This Row],[Artifact]],Artifacts[Input or output],"output")</f>
        <v>1</v>
      </c>
      <c r="E208" s="1" t="str" cm="1">
        <f t="array" ref="E208">VLOOKUP(Artifacts[[#This Row],[SOP]],_xlfn._xlws.FILTER(Roles[],Roles[Type of RACI]="R"),2,FALSE)</f>
        <v>Business Analyst</v>
      </c>
      <c r="F208" s="1" t="str" cm="1">
        <f t="array" ref="F208">VLOOKUP(Artifacts[[#This Row],[SOP]],_xlfn._xlws.FILTER(Roles[],Roles[Type of RACI]="A"),2,FALSE)</f>
        <v>Produktägare</v>
      </c>
      <c r="G208" s="1" t="str" cm="1">
        <f t="array" ref="G208">VLOOKUP(Artifacts[[#This Row],[SOP]],_xlfn._xlws.FILTER(Roles[],Roles[Type of RACI]="C"),2,FALSE)</f>
        <v>Lösningsarkitekt</v>
      </c>
      <c r="H208" s="1" t="str" cm="1">
        <f t="array" ref="H208">VLOOKUP(Artifacts[[#This Row],[SOP]],_xlfn._xlws.FILTER(Roles[],Roles[Type of RACI]="I"),2,FALSE)</f>
        <v>Utvecklare</v>
      </c>
      <c r="I208" s="1" t="str">
        <f>VLOOKUP(Artifacts[[#This Row],[SOP]],SOP[#All],3,FALSE)</f>
        <v>Repeat</v>
      </c>
      <c r="J208" s="1" t="str">
        <f>VLOOKUP(Artifacts[[#This Row],[SOP]],SOP[#All],2,FALSE)</f>
        <v>Förbereda nästa cykel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AD404-E79E-40CA-A3B6-44088997367F}">
  <dimension ref="A1:C46"/>
  <sheetViews>
    <sheetView workbookViewId="0">
      <selection activeCell="B3" sqref="B3"/>
    </sheetView>
  </sheetViews>
  <sheetFormatPr defaultRowHeight="15" x14ac:dyDescent="0.2"/>
  <cols>
    <col min="1" max="1" width="57.21875" bestFit="1" customWidth="1"/>
    <col min="2" max="2" width="32.33203125" bestFit="1" customWidth="1"/>
    <col min="3" max="3" width="10.8867187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4</v>
      </c>
      <c r="B2" s="1" t="s">
        <v>146</v>
      </c>
      <c r="C2" s="1" t="s">
        <v>147</v>
      </c>
    </row>
    <row r="3" spans="1:3" x14ac:dyDescent="0.2">
      <c r="A3" s="1" t="s">
        <v>8</v>
      </c>
      <c r="B3" s="1" t="s">
        <v>10</v>
      </c>
      <c r="C3" s="1" t="s">
        <v>148</v>
      </c>
    </row>
    <row r="4" spans="1:3" x14ac:dyDescent="0.2">
      <c r="A4" s="1" t="s">
        <v>13</v>
      </c>
      <c r="B4" s="1" t="s">
        <v>149</v>
      </c>
      <c r="C4" s="1" t="s">
        <v>148</v>
      </c>
    </row>
    <row r="5" spans="1:3" x14ac:dyDescent="0.2">
      <c r="A5" s="1" t="s">
        <v>14</v>
      </c>
      <c r="B5" s="1" t="s">
        <v>15</v>
      </c>
      <c r="C5" s="1" t="s">
        <v>148</v>
      </c>
    </row>
    <row r="6" spans="1:3" x14ac:dyDescent="0.2">
      <c r="A6" s="1" t="s">
        <v>17</v>
      </c>
      <c r="B6" s="1" t="s">
        <v>150</v>
      </c>
      <c r="C6" s="1" t="s">
        <v>148</v>
      </c>
    </row>
    <row r="7" spans="1:3" x14ac:dyDescent="0.2">
      <c r="A7" s="1" t="s">
        <v>20</v>
      </c>
      <c r="B7" s="1" t="s">
        <v>151</v>
      </c>
      <c r="C7" s="1" t="s">
        <v>148</v>
      </c>
    </row>
    <row r="8" spans="1:3" x14ac:dyDescent="0.2">
      <c r="A8" s="1" t="s">
        <v>25</v>
      </c>
      <c r="B8" s="1" t="s">
        <v>152</v>
      </c>
      <c r="C8" s="1" t="s">
        <v>148</v>
      </c>
    </row>
    <row r="9" spans="1:3" x14ac:dyDescent="0.2">
      <c r="A9" s="1" t="s">
        <v>28</v>
      </c>
      <c r="B9" s="1" t="s">
        <v>153</v>
      </c>
      <c r="C9" s="1" t="s">
        <v>148</v>
      </c>
    </row>
    <row r="10" spans="1:3" x14ac:dyDescent="0.2">
      <c r="A10" s="1" t="s">
        <v>31</v>
      </c>
      <c r="B10" s="1" t="s">
        <v>154</v>
      </c>
      <c r="C10" s="1" t="s">
        <v>148</v>
      </c>
    </row>
    <row r="11" spans="1:3" x14ac:dyDescent="0.2">
      <c r="A11" s="1" t="s">
        <v>32</v>
      </c>
      <c r="B11" s="1" t="s">
        <v>155</v>
      </c>
      <c r="C11" s="1" t="s">
        <v>148</v>
      </c>
    </row>
    <row r="12" spans="1:3" x14ac:dyDescent="0.2">
      <c r="A12" s="1" t="s">
        <v>35</v>
      </c>
      <c r="B12" s="1" t="s">
        <v>156</v>
      </c>
      <c r="C12" s="1" t="s">
        <v>148</v>
      </c>
    </row>
    <row r="13" spans="1:3" x14ac:dyDescent="0.2">
      <c r="A13" s="1" t="s">
        <v>38</v>
      </c>
      <c r="B13" s="1" t="s">
        <v>157</v>
      </c>
      <c r="C13" s="1" t="s">
        <v>62</v>
      </c>
    </row>
    <row r="14" spans="1:3" x14ac:dyDescent="0.2">
      <c r="A14" s="1" t="s">
        <v>42</v>
      </c>
      <c r="B14" s="1" t="s">
        <v>158</v>
      </c>
      <c r="C14" s="1" t="s">
        <v>62</v>
      </c>
    </row>
    <row r="15" spans="1:3" x14ac:dyDescent="0.2">
      <c r="A15" s="1" t="s">
        <v>44</v>
      </c>
      <c r="B15" s="1" t="s">
        <v>159</v>
      </c>
      <c r="C15" s="1" t="s">
        <v>62</v>
      </c>
    </row>
    <row r="16" spans="1:3" x14ac:dyDescent="0.2">
      <c r="A16" s="1" t="s">
        <v>45</v>
      </c>
      <c r="B16" s="1" t="s">
        <v>160</v>
      </c>
      <c r="C16" s="1" t="s">
        <v>62</v>
      </c>
    </row>
    <row r="17" spans="1:3" x14ac:dyDescent="0.2">
      <c r="A17" s="1" t="s">
        <v>49</v>
      </c>
      <c r="B17" s="1" t="s">
        <v>161</v>
      </c>
      <c r="C17" s="1" t="s">
        <v>62</v>
      </c>
    </row>
    <row r="18" spans="1:3" x14ac:dyDescent="0.2">
      <c r="A18" s="1" t="s">
        <v>51</v>
      </c>
      <c r="B18" s="1" t="s">
        <v>162</v>
      </c>
      <c r="C18" s="1" t="s">
        <v>62</v>
      </c>
    </row>
    <row r="19" spans="1:3" x14ac:dyDescent="0.2">
      <c r="A19" s="1" t="s">
        <v>54</v>
      </c>
      <c r="B19" s="1" t="s">
        <v>163</v>
      </c>
      <c r="C19" s="1" t="s">
        <v>62</v>
      </c>
    </row>
    <row r="20" spans="1:3" x14ac:dyDescent="0.2">
      <c r="A20" s="1" t="s">
        <v>57</v>
      </c>
      <c r="B20" s="1" t="s">
        <v>164</v>
      </c>
      <c r="C20" s="1" t="s">
        <v>62</v>
      </c>
    </row>
    <row r="21" spans="1:3" x14ac:dyDescent="0.2">
      <c r="A21" s="1" t="s">
        <v>58</v>
      </c>
      <c r="B21" s="1" t="s">
        <v>165</v>
      </c>
      <c r="C21" s="1" t="s">
        <v>62</v>
      </c>
    </row>
    <row r="22" spans="1:3" x14ac:dyDescent="0.2">
      <c r="A22" s="1" t="s">
        <v>60</v>
      </c>
      <c r="B22" s="1" t="s">
        <v>166</v>
      </c>
      <c r="C22" s="1" t="s">
        <v>62</v>
      </c>
    </row>
    <row r="23" spans="1:3" x14ac:dyDescent="0.2">
      <c r="A23" s="1" t="s">
        <v>63</v>
      </c>
      <c r="B23" s="1" t="s">
        <v>167</v>
      </c>
      <c r="C23" s="1" t="s">
        <v>62</v>
      </c>
    </row>
    <row r="24" spans="1:3" x14ac:dyDescent="0.2">
      <c r="A24" s="1" t="s">
        <v>64</v>
      </c>
      <c r="B24" s="1" t="s">
        <v>168</v>
      </c>
      <c r="C24" s="1" t="s">
        <v>71</v>
      </c>
    </row>
    <row r="25" spans="1:3" x14ac:dyDescent="0.2">
      <c r="A25" s="1" t="s">
        <v>66</v>
      </c>
      <c r="B25" s="1" t="s">
        <v>169</v>
      </c>
      <c r="C25" s="1" t="s">
        <v>71</v>
      </c>
    </row>
    <row r="26" spans="1:3" x14ac:dyDescent="0.2">
      <c r="A26" s="1" t="s">
        <v>68</v>
      </c>
      <c r="B26" s="1" t="s">
        <v>170</v>
      </c>
      <c r="C26" s="1" t="s">
        <v>71</v>
      </c>
    </row>
    <row r="27" spans="1:3" x14ac:dyDescent="0.2">
      <c r="A27" s="1" t="s">
        <v>70</v>
      </c>
      <c r="B27" s="1" t="s">
        <v>171</v>
      </c>
      <c r="C27" s="1" t="s">
        <v>71</v>
      </c>
    </row>
    <row r="28" spans="1:3" x14ac:dyDescent="0.2">
      <c r="A28" s="1" t="s">
        <v>72</v>
      </c>
      <c r="B28" s="1" t="s">
        <v>172</v>
      </c>
      <c r="C28" s="1" t="s">
        <v>71</v>
      </c>
    </row>
    <row r="29" spans="1:3" x14ac:dyDescent="0.2">
      <c r="A29" s="1" t="s">
        <v>73</v>
      </c>
      <c r="B29" s="1" t="s">
        <v>173</v>
      </c>
      <c r="C29" s="1" t="s">
        <v>71</v>
      </c>
    </row>
    <row r="30" spans="1:3" x14ac:dyDescent="0.2">
      <c r="A30" s="1" t="s">
        <v>76</v>
      </c>
      <c r="B30" s="1" t="s">
        <v>174</v>
      </c>
      <c r="C30" s="1" t="s">
        <v>175</v>
      </c>
    </row>
    <row r="31" spans="1:3" x14ac:dyDescent="0.2">
      <c r="A31" s="1" t="s">
        <v>80</v>
      </c>
      <c r="B31" s="1" t="s">
        <v>176</v>
      </c>
      <c r="C31" s="1" t="s">
        <v>175</v>
      </c>
    </row>
    <row r="32" spans="1:3" x14ac:dyDescent="0.2">
      <c r="A32" s="1" t="s">
        <v>85</v>
      </c>
      <c r="B32" s="1" t="s">
        <v>177</v>
      </c>
      <c r="C32" s="1" t="s">
        <v>175</v>
      </c>
    </row>
    <row r="33" spans="1:3" x14ac:dyDescent="0.2">
      <c r="A33" s="1" t="s">
        <v>89</v>
      </c>
      <c r="B33" s="1" t="s">
        <v>178</v>
      </c>
      <c r="C33" s="1" t="s">
        <v>175</v>
      </c>
    </row>
    <row r="34" spans="1:3" x14ac:dyDescent="0.2">
      <c r="A34" s="1" t="s">
        <v>92</v>
      </c>
      <c r="B34" s="1" t="s">
        <v>179</v>
      </c>
      <c r="C34" s="1" t="s">
        <v>175</v>
      </c>
    </row>
    <row r="35" spans="1:3" x14ac:dyDescent="0.2">
      <c r="A35" s="1" t="s">
        <v>96</v>
      </c>
      <c r="B35" s="1" t="s">
        <v>180</v>
      </c>
      <c r="C35" s="1" t="s">
        <v>175</v>
      </c>
    </row>
    <row r="36" spans="1:3" x14ac:dyDescent="0.2">
      <c r="A36" s="1" t="s">
        <v>102</v>
      </c>
      <c r="B36" s="1" t="s">
        <v>181</v>
      </c>
      <c r="C36" s="1" t="s">
        <v>175</v>
      </c>
    </row>
    <row r="37" spans="1:3" x14ac:dyDescent="0.2">
      <c r="A37" s="1" t="s">
        <v>103</v>
      </c>
      <c r="B37" s="1" t="s">
        <v>182</v>
      </c>
      <c r="C37" s="1" t="s">
        <v>175</v>
      </c>
    </row>
    <row r="38" spans="1:3" x14ac:dyDescent="0.2">
      <c r="A38" s="1" t="s">
        <v>105</v>
      </c>
      <c r="B38" s="1" t="s">
        <v>183</v>
      </c>
      <c r="C38" s="1" t="s">
        <v>175</v>
      </c>
    </row>
    <row r="39" spans="1:3" x14ac:dyDescent="0.2">
      <c r="A39" s="1" t="s">
        <v>107</v>
      </c>
      <c r="B39" s="1" t="s">
        <v>184</v>
      </c>
      <c r="C39" s="1" t="s">
        <v>175</v>
      </c>
    </row>
    <row r="40" spans="1:3" x14ac:dyDescent="0.2">
      <c r="A40" s="1" t="s">
        <v>109</v>
      </c>
      <c r="B40" s="1" t="s">
        <v>185</v>
      </c>
      <c r="C40" s="1" t="s">
        <v>175</v>
      </c>
    </row>
    <row r="41" spans="1:3" x14ac:dyDescent="0.2">
      <c r="A41" s="1" t="s">
        <v>112</v>
      </c>
      <c r="B41" s="1" t="s">
        <v>186</v>
      </c>
      <c r="C41" s="1" t="s">
        <v>187</v>
      </c>
    </row>
    <row r="42" spans="1:3" x14ac:dyDescent="0.2">
      <c r="A42" s="1" t="s">
        <v>115</v>
      </c>
      <c r="B42" s="1" t="s">
        <v>188</v>
      </c>
      <c r="C42" s="1" t="s">
        <v>187</v>
      </c>
    </row>
    <row r="43" spans="1:3" x14ac:dyDescent="0.2">
      <c r="A43" s="1" t="s">
        <v>118</v>
      </c>
      <c r="B43" s="1" t="s">
        <v>189</v>
      </c>
      <c r="C43" s="1" t="s">
        <v>187</v>
      </c>
    </row>
    <row r="44" spans="1:3" x14ac:dyDescent="0.2">
      <c r="A44" s="1" t="s">
        <v>120</v>
      </c>
      <c r="B44" s="1" t="s">
        <v>190</v>
      </c>
      <c r="C44" s="1" t="s">
        <v>187</v>
      </c>
    </row>
    <row r="45" spans="1:3" x14ac:dyDescent="0.2">
      <c r="A45" s="1" t="s">
        <v>122</v>
      </c>
      <c r="B45" s="1" t="s">
        <v>191</v>
      </c>
      <c r="C45" s="1" t="s">
        <v>187</v>
      </c>
    </row>
    <row r="46" spans="1:3" x14ac:dyDescent="0.2">
      <c r="A46" s="1" t="s">
        <v>125</v>
      </c>
      <c r="B46" s="1" t="s">
        <v>192</v>
      </c>
      <c r="C46" s="1" t="s">
        <v>187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F36C1-133E-4C9A-9862-4F69E7F54A49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7CB6-3CB2-44E0-8441-290843F82D5B}">
  <dimension ref="A1:C196"/>
  <sheetViews>
    <sheetView workbookViewId="0">
      <selection activeCell="G24" sqref="G24"/>
    </sheetView>
  </sheetViews>
  <sheetFormatPr defaultRowHeight="15" x14ac:dyDescent="0.2"/>
  <cols>
    <col min="1" max="1" width="57.21875" bestFit="1" customWidth="1"/>
    <col min="2" max="2" width="19.77734375" bestFit="1" customWidth="1"/>
  </cols>
  <sheetData>
    <row r="1" spans="1:3" x14ac:dyDescent="0.2">
      <c r="A1" s="1" t="s">
        <v>4</v>
      </c>
      <c r="B1" s="1" t="s">
        <v>141</v>
      </c>
      <c r="C1" s="1" t="s">
        <v>128</v>
      </c>
    </row>
    <row r="2" spans="1:3" x14ac:dyDescent="0.2">
      <c r="A2" s="1" t="s">
        <v>8</v>
      </c>
      <c r="B2" s="1" t="s">
        <v>12</v>
      </c>
      <c r="C2" s="1" t="s">
        <v>129</v>
      </c>
    </row>
    <row r="3" spans="1:3" x14ac:dyDescent="0.2">
      <c r="A3" s="1" t="s">
        <v>8</v>
      </c>
      <c r="B3" s="1" t="s">
        <v>130</v>
      </c>
      <c r="C3" s="1" t="s">
        <v>131</v>
      </c>
    </row>
    <row r="4" spans="1:3" x14ac:dyDescent="0.2">
      <c r="A4" s="1" t="s">
        <v>8</v>
      </c>
      <c r="B4" s="1" t="s">
        <v>132</v>
      </c>
      <c r="C4" s="1" t="s">
        <v>133</v>
      </c>
    </row>
    <row r="5" spans="1:3" x14ac:dyDescent="0.2">
      <c r="A5" s="1" t="s">
        <v>8</v>
      </c>
      <c r="B5" s="1" t="s">
        <v>134</v>
      </c>
      <c r="C5" s="1" t="s">
        <v>135</v>
      </c>
    </row>
    <row r="6" spans="1:3" x14ac:dyDescent="0.2">
      <c r="A6" s="1" t="s">
        <v>13</v>
      </c>
      <c r="B6" s="1" t="s">
        <v>12</v>
      </c>
      <c r="C6" s="1" t="s">
        <v>129</v>
      </c>
    </row>
    <row r="7" spans="1:3" x14ac:dyDescent="0.2">
      <c r="A7" s="1" t="s">
        <v>13</v>
      </c>
      <c r="B7" s="1" t="s">
        <v>130</v>
      </c>
      <c r="C7" s="1" t="s">
        <v>131</v>
      </c>
    </row>
    <row r="8" spans="1:3" x14ac:dyDescent="0.2">
      <c r="A8" s="1" t="s">
        <v>13</v>
      </c>
      <c r="B8" s="1" t="s">
        <v>132</v>
      </c>
      <c r="C8" s="1" t="s">
        <v>133</v>
      </c>
    </row>
    <row r="9" spans="1:3" x14ac:dyDescent="0.2">
      <c r="A9" s="1" t="s">
        <v>13</v>
      </c>
      <c r="B9" s="1" t="s">
        <v>134</v>
      </c>
      <c r="C9" s="1" t="s">
        <v>135</v>
      </c>
    </row>
    <row r="10" spans="1:3" x14ac:dyDescent="0.2">
      <c r="A10" s="1" t="s">
        <v>14</v>
      </c>
      <c r="B10" s="1" t="s">
        <v>12</v>
      </c>
      <c r="C10" s="1" t="s">
        <v>129</v>
      </c>
    </row>
    <row r="11" spans="1:3" x14ac:dyDescent="0.2">
      <c r="A11" s="1" t="s">
        <v>14</v>
      </c>
      <c r="B11" s="1" t="s">
        <v>130</v>
      </c>
      <c r="C11" s="1" t="s">
        <v>131</v>
      </c>
    </row>
    <row r="12" spans="1:3" x14ac:dyDescent="0.2">
      <c r="A12" s="1" t="s">
        <v>14</v>
      </c>
      <c r="B12" s="1" t="s">
        <v>132</v>
      </c>
      <c r="C12" s="1" t="s">
        <v>133</v>
      </c>
    </row>
    <row r="13" spans="1:3" x14ac:dyDescent="0.2">
      <c r="A13" s="1" t="s">
        <v>14</v>
      </c>
      <c r="B13" s="1" t="s">
        <v>87</v>
      </c>
      <c r="C13" s="1" t="s">
        <v>133</v>
      </c>
    </row>
    <row r="14" spans="1:3" x14ac:dyDescent="0.2">
      <c r="A14" s="1" t="s">
        <v>14</v>
      </c>
      <c r="B14" s="1" t="s">
        <v>134</v>
      </c>
      <c r="C14" s="1" t="s">
        <v>135</v>
      </c>
    </row>
    <row r="15" spans="1:3" x14ac:dyDescent="0.2">
      <c r="A15" s="1" t="s">
        <v>17</v>
      </c>
      <c r="B15" s="1" t="s">
        <v>12</v>
      </c>
      <c r="C15" s="1" t="s">
        <v>129</v>
      </c>
    </row>
    <row r="16" spans="1:3" x14ac:dyDescent="0.2">
      <c r="A16" s="1" t="s">
        <v>17</v>
      </c>
      <c r="B16" s="1" t="s">
        <v>130</v>
      </c>
      <c r="C16" s="1" t="s">
        <v>131</v>
      </c>
    </row>
    <row r="17" spans="1:3" x14ac:dyDescent="0.2">
      <c r="A17" s="1" t="s">
        <v>17</v>
      </c>
      <c r="B17" s="1" t="s">
        <v>132</v>
      </c>
      <c r="C17" s="1" t="s">
        <v>133</v>
      </c>
    </row>
    <row r="18" spans="1:3" x14ac:dyDescent="0.2">
      <c r="A18" s="1" t="s">
        <v>17</v>
      </c>
      <c r="B18" s="1" t="s">
        <v>134</v>
      </c>
      <c r="C18" s="1" t="s">
        <v>133</v>
      </c>
    </row>
    <row r="19" spans="1:3" x14ac:dyDescent="0.2">
      <c r="A19" s="1" t="s">
        <v>17</v>
      </c>
      <c r="B19" s="1" t="s">
        <v>87</v>
      </c>
      <c r="C19" s="1" t="s">
        <v>135</v>
      </c>
    </row>
    <row r="20" spans="1:3" x14ac:dyDescent="0.2">
      <c r="A20" s="1" t="s">
        <v>20</v>
      </c>
      <c r="B20" s="1" t="s">
        <v>12</v>
      </c>
      <c r="C20" s="1" t="s">
        <v>129</v>
      </c>
    </row>
    <row r="21" spans="1:3" x14ac:dyDescent="0.2">
      <c r="A21" s="1" t="s">
        <v>20</v>
      </c>
      <c r="B21" s="1" t="s">
        <v>130</v>
      </c>
      <c r="C21" s="1" t="s">
        <v>131</v>
      </c>
    </row>
    <row r="22" spans="1:3" x14ac:dyDescent="0.2">
      <c r="A22" s="1" t="s">
        <v>20</v>
      </c>
      <c r="B22" s="1" t="s">
        <v>132</v>
      </c>
      <c r="C22" s="1" t="s">
        <v>133</v>
      </c>
    </row>
    <row r="23" spans="1:3" x14ac:dyDescent="0.2">
      <c r="A23" s="1" t="s">
        <v>20</v>
      </c>
      <c r="B23" s="1" t="s">
        <v>40</v>
      </c>
      <c r="C23" s="1" t="s">
        <v>135</v>
      </c>
    </row>
    <row r="24" spans="1:3" x14ac:dyDescent="0.2">
      <c r="A24" s="1" t="s">
        <v>25</v>
      </c>
      <c r="B24" s="1" t="s">
        <v>27</v>
      </c>
      <c r="C24" s="1" t="s">
        <v>129</v>
      </c>
    </row>
    <row r="25" spans="1:3" x14ac:dyDescent="0.2">
      <c r="A25" s="1" t="s">
        <v>25</v>
      </c>
      <c r="B25" s="1" t="s">
        <v>130</v>
      </c>
      <c r="C25" s="1" t="s">
        <v>131</v>
      </c>
    </row>
    <row r="26" spans="1:3" x14ac:dyDescent="0.2">
      <c r="A26" s="1" t="s">
        <v>25</v>
      </c>
      <c r="B26" s="1" t="s">
        <v>132</v>
      </c>
      <c r="C26" s="1" t="s">
        <v>133</v>
      </c>
    </row>
    <row r="27" spans="1:3" x14ac:dyDescent="0.2">
      <c r="A27" s="1" t="s">
        <v>25</v>
      </c>
      <c r="B27" s="1" t="s">
        <v>136</v>
      </c>
      <c r="C27" s="1" t="s">
        <v>133</v>
      </c>
    </row>
    <row r="28" spans="1:3" x14ac:dyDescent="0.2">
      <c r="A28" s="1" t="s">
        <v>25</v>
      </c>
      <c r="B28" s="1" t="s">
        <v>12</v>
      </c>
      <c r="C28" s="1" t="s">
        <v>135</v>
      </c>
    </row>
    <row r="29" spans="1:3" x14ac:dyDescent="0.2">
      <c r="A29" s="1" t="s">
        <v>28</v>
      </c>
      <c r="B29" s="1" t="s">
        <v>12</v>
      </c>
      <c r="C29" s="1" t="s">
        <v>129</v>
      </c>
    </row>
    <row r="30" spans="1:3" x14ac:dyDescent="0.2">
      <c r="A30" s="1" t="s">
        <v>28</v>
      </c>
      <c r="B30" s="1" t="s">
        <v>130</v>
      </c>
      <c r="C30" s="1" t="s">
        <v>131</v>
      </c>
    </row>
    <row r="31" spans="1:3" x14ac:dyDescent="0.2">
      <c r="A31" s="1" t="s">
        <v>28</v>
      </c>
      <c r="B31" s="1" t="s">
        <v>27</v>
      </c>
      <c r="C31" s="1" t="s">
        <v>133</v>
      </c>
    </row>
    <row r="32" spans="1:3" x14ac:dyDescent="0.2">
      <c r="A32" s="1" t="s">
        <v>28</v>
      </c>
      <c r="B32" s="1" t="s">
        <v>132</v>
      </c>
      <c r="C32" s="1" t="s">
        <v>133</v>
      </c>
    </row>
    <row r="33" spans="1:3" x14ac:dyDescent="0.2">
      <c r="A33" s="1" t="s">
        <v>28</v>
      </c>
      <c r="B33" s="1" t="s">
        <v>87</v>
      </c>
      <c r="C33" s="1" t="s">
        <v>135</v>
      </c>
    </row>
    <row r="34" spans="1:3" x14ac:dyDescent="0.2">
      <c r="A34" s="1" t="s">
        <v>31</v>
      </c>
      <c r="B34" s="1" t="s">
        <v>12</v>
      </c>
      <c r="C34" s="1" t="s">
        <v>129</v>
      </c>
    </row>
    <row r="35" spans="1:3" x14ac:dyDescent="0.2">
      <c r="A35" s="1" t="s">
        <v>31</v>
      </c>
      <c r="B35" s="1" t="s">
        <v>130</v>
      </c>
      <c r="C35" s="1" t="s">
        <v>131</v>
      </c>
    </row>
    <row r="36" spans="1:3" x14ac:dyDescent="0.2">
      <c r="A36" s="1" t="s">
        <v>31</v>
      </c>
      <c r="B36" s="1" t="s">
        <v>132</v>
      </c>
      <c r="C36" s="1" t="s">
        <v>133</v>
      </c>
    </row>
    <row r="37" spans="1:3" x14ac:dyDescent="0.2">
      <c r="A37" s="1" t="s">
        <v>31</v>
      </c>
      <c r="B37" s="1" t="s">
        <v>87</v>
      </c>
      <c r="C37" s="1" t="s">
        <v>135</v>
      </c>
    </row>
    <row r="38" spans="1:3" x14ac:dyDescent="0.2">
      <c r="A38" s="1" t="s">
        <v>32</v>
      </c>
      <c r="B38" s="1" t="s">
        <v>12</v>
      </c>
      <c r="C38" s="1" t="s">
        <v>129</v>
      </c>
    </row>
    <row r="39" spans="1:3" x14ac:dyDescent="0.2">
      <c r="A39" s="1" t="s">
        <v>32</v>
      </c>
      <c r="B39" s="1" t="s">
        <v>130</v>
      </c>
      <c r="C39" s="1" t="s">
        <v>131</v>
      </c>
    </row>
    <row r="40" spans="1:3" x14ac:dyDescent="0.2">
      <c r="A40" s="1" t="s">
        <v>32</v>
      </c>
      <c r="B40" s="1" t="s">
        <v>132</v>
      </c>
      <c r="C40" s="1" t="s">
        <v>133</v>
      </c>
    </row>
    <row r="41" spans="1:3" x14ac:dyDescent="0.2">
      <c r="A41" s="1" t="s">
        <v>32</v>
      </c>
      <c r="B41" s="1" t="s">
        <v>87</v>
      </c>
      <c r="C41" s="1" t="s">
        <v>135</v>
      </c>
    </row>
    <row r="42" spans="1:3" x14ac:dyDescent="0.2">
      <c r="A42" s="1" t="s">
        <v>35</v>
      </c>
      <c r="B42" s="1" t="s">
        <v>12</v>
      </c>
      <c r="C42" s="1" t="s">
        <v>129</v>
      </c>
    </row>
    <row r="43" spans="1:3" x14ac:dyDescent="0.2">
      <c r="A43" s="1" t="s">
        <v>35</v>
      </c>
      <c r="B43" s="1" t="s">
        <v>130</v>
      </c>
      <c r="C43" s="1" t="s">
        <v>131</v>
      </c>
    </row>
    <row r="44" spans="1:3" x14ac:dyDescent="0.2">
      <c r="A44" s="1" t="s">
        <v>35</v>
      </c>
      <c r="B44" s="1" t="s">
        <v>132</v>
      </c>
      <c r="C44" s="1" t="s">
        <v>133</v>
      </c>
    </row>
    <row r="45" spans="1:3" x14ac:dyDescent="0.2">
      <c r="A45" s="1" t="s">
        <v>35</v>
      </c>
      <c r="B45" s="1" t="s">
        <v>134</v>
      </c>
      <c r="C45" s="1" t="s">
        <v>135</v>
      </c>
    </row>
    <row r="46" spans="1:3" x14ac:dyDescent="0.2">
      <c r="A46" s="1" t="s">
        <v>38</v>
      </c>
      <c r="B46" s="1" t="s">
        <v>40</v>
      </c>
      <c r="C46" s="1" t="s">
        <v>129</v>
      </c>
    </row>
    <row r="47" spans="1:3" x14ac:dyDescent="0.2">
      <c r="A47" s="1" t="s">
        <v>38</v>
      </c>
      <c r="B47" s="1" t="s">
        <v>137</v>
      </c>
      <c r="C47" s="1" t="s">
        <v>131</v>
      </c>
    </row>
    <row r="48" spans="1:3" x14ac:dyDescent="0.2">
      <c r="A48" s="1" t="s">
        <v>38</v>
      </c>
      <c r="B48" s="1" t="s">
        <v>130</v>
      </c>
      <c r="C48" s="1" t="s">
        <v>133</v>
      </c>
    </row>
    <row r="49" spans="1:3" x14ac:dyDescent="0.2">
      <c r="A49" s="1" t="s">
        <v>38</v>
      </c>
      <c r="B49" s="1" t="s">
        <v>74</v>
      </c>
      <c r="C49" s="1" t="s">
        <v>133</v>
      </c>
    </row>
    <row r="50" spans="1:3" x14ac:dyDescent="0.2">
      <c r="A50" s="1" t="s">
        <v>38</v>
      </c>
      <c r="B50" s="1" t="s">
        <v>12</v>
      </c>
      <c r="C50" s="1" t="s">
        <v>135</v>
      </c>
    </row>
    <row r="51" spans="1:3" x14ac:dyDescent="0.2">
      <c r="A51" s="1" t="s">
        <v>42</v>
      </c>
      <c r="B51" s="1" t="s">
        <v>40</v>
      </c>
      <c r="C51" s="1" t="s">
        <v>129</v>
      </c>
    </row>
    <row r="52" spans="1:3" x14ac:dyDescent="0.2">
      <c r="A52" s="1" t="s">
        <v>42</v>
      </c>
      <c r="B52" s="1" t="s">
        <v>137</v>
      </c>
      <c r="C52" s="1" t="s">
        <v>131</v>
      </c>
    </row>
    <row r="53" spans="1:3" x14ac:dyDescent="0.2">
      <c r="A53" s="1" t="s">
        <v>42</v>
      </c>
      <c r="B53" s="1" t="s">
        <v>74</v>
      </c>
      <c r="C53" s="1" t="s">
        <v>133</v>
      </c>
    </row>
    <row r="54" spans="1:3" x14ac:dyDescent="0.2">
      <c r="A54" s="1" t="s">
        <v>42</v>
      </c>
      <c r="B54" s="1" t="s">
        <v>132</v>
      </c>
      <c r="C54" s="1" t="s">
        <v>133</v>
      </c>
    </row>
    <row r="55" spans="1:3" x14ac:dyDescent="0.2">
      <c r="A55" s="1" t="s">
        <v>42</v>
      </c>
      <c r="B55" s="1" t="s">
        <v>130</v>
      </c>
      <c r="C55" s="1" t="s">
        <v>135</v>
      </c>
    </row>
    <row r="56" spans="1:3" x14ac:dyDescent="0.2">
      <c r="A56" s="1" t="s">
        <v>44</v>
      </c>
      <c r="B56" s="1" t="s">
        <v>12</v>
      </c>
      <c r="C56" s="1" t="s">
        <v>129</v>
      </c>
    </row>
    <row r="57" spans="1:3" x14ac:dyDescent="0.2">
      <c r="A57" s="1" t="s">
        <v>44</v>
      </c>
      <c r="B57" s="1" t="s">
        <v>40</v>
      </c>
      <c r="C57" s="1" t="s">
        <v>131</v>
      </c>
    </row>
    <row r="58" spans="1:3" x14ac:dyDescent="0.2">
      <c r="A58" s="1" t="s">
        <v>44</v>
      </c>
      <c r="B58" s="1" t="s">
        <v>132</v>
      </c>
      <c r="C58" s="1" t="s">
        <v>133</v>
      </c>
    </row>
    <row r="59" spans="1:3" x14ac:dyDescent="0.2">
      <c r="A59" s="1" t="s">
        <v>44</v>
      </c>
      <c r="B59" s="1" t="s">
        <v>130</v>
      </c>
      <c r="C59" s="1" t="s">
        <v>135</v>
      </c>
    </row>
    <row r="60" spans="1:3" x14ac:dyDescent="0.2">
      <c r="A60" s="1" t="s">
        <v>45</v>
      </c>
      <c r="B60" s="1" t="s">
        <v>40</v>
      </c>
      <c r="C60" s="1" t="s">
        <v>129</v>
      </c>
    </row>
    <row r="61" spans="1:3" x14ac:dyDescent="0.2">
      <c r="A61" s="1" t="s">
        <v>45</v>
      </c>
      <c r="B61" s="1" t="s">
        <v>137</v>
      </c>
      <c r="C61" s="1" t="s">
        <v>131</v>
      </c>
    </row>
    <row r="62" spans="1:3" x14ac:dyDescent="0.2">
      <c r="A62" s="1" t="s">
        <v>45</v>
      </c>
      <c r="B62" s="1" t="s">
        <v>74</v>
      </c>
      <c r="C62" s="1" t="s">
        <v>133</v>
      </c>
    </row>
    <row r="63" spans="1:3" x14ac:dyDescent="0.2">
      <c r="A63" s="1" t="s">
        <v>45</v>
      </c>
      <c r="B63" s="1" t="s">
        <v>130</v>
      </c>
      <c r="C63" s="1" t="s">
        <v>135</v>
      </c>
    </row>
    <row r="64" spans="1:3" x14ac:dyDescent="0.2">
      <c r="A64" s="1" t="s">
        <v>49</v>
      </c>
      <c r="B64" s="1" t="s">
        <v>40</v>
      </c>
      <c r="C64" s="1" t="s">
        <v>129</v>
      </c>
    </row>
    <row r="65" spans="1:3" x14ac:dyDescent="0.2">
      <c r="A65" s="1" t="s">
        <v>49</v>
      </c>
      <c r="B65" s="1" t="s">
        <v>137</v>
      </c>
      <c r="C65" s="1" t="s">
        <v>131</v>
      </c>
    </row>
    <row r="66" spans="1:3" x14ac:dyDescent="0.2">
      <c r="A66" s="1" t="s">
        <v>49</v>
      </c>
      <c r="B66" s="1" t="s">
        <v>74</v>
      </c>
      <c r="C66" s="1" t="s">
        <v>133</v>
      </c>
    </row>
    <row r="67" spans="1:3" x14ac:dyDescent="0.2">
      <c r="A67" s="1" t="s">
        <v>49</v>
      </c>
      <c r="B67" s="1" t="s">
        <v>87</v>
      </c>
      <c r="C67" s="1" t="s">
        <v>133</v>
      </c>
    </row>
    <row r="68" spans="1:3" x14ac:dyDescent="0.2">
      <c r="A68" s="1" t="s">
        <v>49</v>
      </c>
      <c r="B68" s="1" t="s">
        <v>130</v>
      </c>
      <c r="C68" s="1" t="s">
        <v>135</v>
      </c>
    </row>
    <row r="69" spans="1:3" x14ac:dyDescent="0.2">
      <c r="A69" s="1" t="s">
        <v>51</v>
      </c>
      <c r="B69" s="1" t="s">
        <v>52</v>
      </c>
      <c r="C69" s="1" t="s">
        <v>129</v>
      </c>
    </row>
    <row r="70" spans="1:3" x14ac:dyDescent="0.2">
      <c r="A70" s="1" t="s">
        <v>51</v>
      </c>
      <c r="B70" s="1" t="s">
        <v>40</v>
      </c>
      <c r="C70" s="1" t="s">
        <v>131</v>
      </c>
    </row>
    <row r="71" spans="1:3" x14ac:dyDescent="0.2">
      <c r="A71" s="1" t="s">
        <v>51</v>
      </c>
      <c r="B71" s="1" t="s">
        <v>74</v>
      </c>
      <c r="C71" s="1" t="s">
        <v>133</v>
      </c>
    </row>
    <row r="72" spans="1:3" x14ac:dyDescent="0.2">
      <c r="A72" s="1" t="s">
        <v>51</v>
      </c>
      <c r="B72" s="1" t="s">
        <v>130</v>
      </c>
      <c r="C72" s="1" t="s">
        <v>135</v>
      </c>
    </row>
    <row r="73" spans="1:3" x14ac:dyDescent="0.2">
      <c r="A73" s="1" t="s">
        <v>54</v>
      </c>
      <c r="B73" s="1" t="s">
        <v>40</v>
      </c>
      <c r="C73" s="1" t="s">
        <v>129</v>
      </c>
    </row>
    <row r="74" spans="1:3" x14ac:dyDescent="0.2">
      <c r="A74" s="1" t="s">
        <v>54</v>
      </c>
      <c r="B74" s="1" t="s">
        <v>137</v>
      </c>
      <c r="C74" s="1" t="s">
        <v>131</v>
      </c>
    </row>
    <row r="75" spans="1:3" x14ac:dyDescent="0.2">
      <c r="A75" s="1" t="s">
        <v>54</v>
      </c>
      <c r="B75" s="1" t="s">
        <v>74</v>
      </c>
      <c r="C75" s="1" t="s">
        <v>133</v>
      </c>
    </row>
    <row r="76" spans="1:3" x14ac:dyDescent="0.2">
      <c r="A76" s="1" t="s">
        <v>54</v>
      </c>
      <c r="B76" s="1" t="s">
        <v>100</v>
      </c>
      <c r="C76" s="1" t="s">
        <v>133</v>
      </c>
    </row>
    <row r="77" spans="1:3" x14ac:dyDescent="0.2">
      <c r="A77" s="1" t="s">
        <v>54</v>
      </c>
      <c r="B77" s="1" t="s">
        <v>130</v>
      </c>
      <c r="C77" s="1" t="s">
        <v>135</v>
      </c>
    </row>
    <row r="78" spans="1:3" x14ac:dyDescent="0.2">
      <c r="A78" s="1" t="s">
        <v>57</v>
      </c>
      <c r="B78" s="1" t="s">
        <v>40</v>
      </c>
      <c r="C78" s="1" t="s">
        <v>129</v>
      </c>
    </row>
    <row r="79" spans="1:3" x14ac:dyDescent="0.2">
      <c r="A79" s="1" t="s">
        <v>57</v>
      </c>
      <c r="B79" s="1" t="s">
        <v>137</v>
      </c>
      <c r="C79" s="1" t="s">
        <v>131</v>
      </c>
    </row>
    <row r="80" spans="1:3" x14ac:dyDescent="0.2">
      <c r="A80" s="1" t="s">
        <v>57</v>
      </c>
      <c r="B80" s="1" t="s">
        <v>74</v>
      </c>
      <c r="C80" s="1" t="s">
        <v>133</v>
      </c>
    </row>
    <row r="81" spans="1:3" x14ac:dyDescent="0.2">
      <c r="A81" s="1" t="s">
        <v>57</v>
      </c>
      <c r="B81" s="1" t="s">
        <v>130</v>
      </c>
      <c r="C81" s="1" t="s">
        <v>133</v>
      </c>
    </row>
    <row r="82" spans="1:3" x14ac:dyDescent="0.2">
      <c r="A82" s="1" t="s">
        <v>57</v>
      </c>
      <c r="B82" s="1" t="s">
        <v>87</v>
      </c>
      <c r="C82" s="1" t="s">
        <v>135</v>
      </c>
    </row>
    <row r="83" spans="1:3" x14ac:dyDescent="0.2">
      <c r="A83" s="1" t="s">
        <v>58</v>
      </c>
      <c r="B83" s="1" t="s">
        <v>40</v>
      </c>
      <c r="C83" s="1" t="s">
        <v>129</v>
      </c>
    </row>
    <row r="84" spans="1:3" x14ac:dyDescent="0.2">
      <c r="A84" s="1" t="s">
        <v>58</v>
      </c>
      <c r="B84" s="1" t="s">
        <v>137</v>
      </c>
      <c r="C84" s="1" t="s">
        <v>131</v>
      </c>
    </row>
    <row r="85" spans="1:3" x14ac:dyDescent="0.2">
      <c r="A85" s="1" t="s">
        <v>58</v>
      </c>
      <c r="B85" s="1" t="s">
        <v>100</v>
      </c>
      <c r="C85" s="1" t="s">
        <v>133</v>
      </c>
    </row>
    <row r="86" spans="1:3" x14ac:dyDescent="0.2">
      <c r="A86" s="1" t="s">
        <v>58</v>
      </c>
      <c r="B86" s="1" t="s">
        <v>74</v>
      </c>
      <c r="C86" s="1" t="s">
        <v>133</v>
      </c>
    </row>
    <row r="87" spans="1:3" x14ac:dyDescent="0.2">
      <c r="A87" s="1" t="s">
        <v>58</v>
      </c>
      <c r="B87" s="1" t="s">
        <v>130</v>
      </c>
      <c r="C87" s="1" t="s">
        <v>135</v>
      </c>
    </row>
    <row r="88" spans="1:3" x14ac:dyDescent="0.2">
      <c r="A88" s="1" t="s">
        <v>60</v>
      </c>
      <c r="B88" s="1" t="s">
        <v>40</v>
      </c>
      <c r="C88" s="1" t="s">
        <v>129</v>
      </c>
    </row>
    <row r="89" spans="1:3" x14ac:dyDescent="0.2">
      <c r="A89" s="1" t="s">
        <v>60</v>
      </c>
      <c r="B89" s="1" t="s">
        <v>137</v>
      </c>
      <c r="C89" s="1" t="s">
        <v>131</v>
      </c>
    </row>
    <row r="90" spans="1:3" x14ac:dyDescent="0.2">
      <c r="A90" s="1" t="s">
        <v>60</v>
      </c>
      <c r="B90" s="1" t="s">
        <v>100</v>
      </c>
      <c r="C90" s="1" t="s">
        <v>133</v>
      </c>
    </row>
    <row r="91" spans="1:3" x14ac:dyDescent="0.2">
      <c r="A91" s="1" t="s">
        <v>60</v>
      </c>
      <c r="B91" s="1" t="s">
        <v>74</v>
      </c>
      <c r="C91" s="1" t="s">
        <v>133</v>
      </c>
    </row>
    <row r="92" spans="1:3" x14ac:dyDescent="0.2">
      <c r="A92" s="1" t="s">
        <v>60</v>
      </c>
      <c r="B92" s="1" t="s">
        <v>130</v>
      </c>
      <c r="C92" s="1" t="s">
        <v>135</v>
      </c>
    </row>
    <row r="93" spans="1:3" x14ac:dyDescent="0.2">
      <c r="A93" s="1" t="s">
        <v>63</v>
      </c>
      <c r="B93" s="1" t="s">
        <v>40</v>
      </c>
      <c r="C93" s="1" t="s">
        <v>129</v>
      </c>
    </row>
    <row r="94" spans="1:3" x14ac:dyDescent="0.2">
      <c r="A94" s="1" t="s">
        <v>63</v>
      </c>
      <c r="B94" s="1" t="s">
        <v>137</v>
      </c>
      <c r="C94" s="1" t="s">
        <v>131</v>
      </c>
    </row>
    <row r="95" spans="1:3" x14ac:dyDescent="0.2">
      <c r="A95" s="1" t="s">
        <v>63</v>
      </c>
      <c r="B95" s="1" t="s">
        <v>52</v>
      </c>
      <c r="C95" s="1" t="s">
        <v>133</v>
      </c>
    </row>
    <row r="96" spans="1:3" x14ac:dyDescent="0.2">
      <c r="A96" s="1" t="s">
        <v>63</v>
      </c>
      <c r="B96" s="1" t="s">
        <v>74</v>
      </c>
      <c r="C96" s="1" t="s">
        <v>133</v>
      </c>
    </row>
    <row r="97" spans="1:3" x14ac:dyDescent="0.2">
      <c r="A97" s="1" t="s">
        <v>63</v>
      </c>
      <c r="B97" s="1" t="s">
        <v>130</v>
      </c>
      <c r="C97" s="1" t="s">
        <v>135</v>
      </c>
    </row>
    <row r="98" spans="1:3" x14ac:dyDescent="0.2">
      <c r="A98" s="1" t="s">
        <v>64</v>
      </c>
      <c r="B98" s="1" t="s">
        <v>12</v>
      </c>
      <c r="C98" s="1" t="s">
        <v>129</v>
      </c>
    </row>
    <row r="99" spans="1:3" x14ac:dyDescent="0.2">
      <c r="A99" s="1" t="s">
        <v>64</v>
      </c>
      <c r="B99" s="1" t="s">
        <v>130</v>
      </c>
      <c r="C99" s="1" t="s">
        <v>131</v>
      </c>
    </row>
    <row r="100" spans="1:3" x14ac:dyDescent="0.2">
      <c r="A100" s="1" t="s">
        <v>64</v>
      </c>
      <c r="B100" s="1" t="s">
        <v>40</v>
      </c>
      <c r="C100" s="1" t="s">
        <v>133</v>
      </c>
    </row>
    <row r="101" spans="1:3" x14ac:dyDescent="0.2">
      <c r="A101" s="1" t="s">
        <v>64</v>
      </c>
      <c r="B101" s="1" t="s">
        <v>132</v>
      </c>
      <c r="C101" s="1" t="s">
        <v>133</v>
      </c>
    </row>
    <row r="102" spans="1:3" x14ac:dyDescent="0.2">
      <c r="A102" s="1" t="s">
        <v>64</v>
      </c>
      <c r="B102" s="1" t="s">
        <v>87</v>
      </c>
      <c r="C102" s="1" t="s">
        <v>135</v>
      </c>
    </row>
    <row r="103" spans="1:3" x14ac:dyDescent="0.2">
      <c r="A103" s="1" t="s">
        <v>66</v>
      </c>
      <c r="B103" s="1" t="s">
        <v>12</v>
      </c>
      <c r="C103" s="1" t="s">
        <v>129</v>
      </c>
    </row>
    <row r="104" spans="1:3" x14ac:dyDescent="0.2">
      <c r="A104" s="1" t="s">
        <v>66</v>
      </c>
      <c r="B104" s="1" t="s">
        <v>130</v>
      </c>
      <c r="C104" s="1" t="s">
        <v>131</v>
      </c>
    </row>
    <row r="105" spans="1:3" x14ac:dyDescent="0.2">
      <c r="A105" s="1" t="s">
        <v>66</v>
      </c>
      <c r="B105" s="1" t="s">
        <v>40</v>
      </c>
      <c r="C105" s="1" t="s">
        <v>133</v>
      </c>
    </row>
    <row r="106" spans="1:3" x14ac:dyDescent="0.2">
      <c r="A106" s="1" t="s">
        <v>66</v>
      </c>
      <c r="B106" s="1" t="s">
        <v>87</v>
      </c>
      <c r="C106" s="1" t="s">
        <v>135</v>
      </c>
    </row>
    <row r="107" spans="1:3" x14ac:dyDescent="0.2">
      <c r="A107" s="1" t="s">
        <v>68</v>
      </c>
      <c r="B107" s="1" t="s">
        <v>12</v>
      </c>
      <c r="C107" s="1" t="s">
        <v>129</v>
      </c>
    </row>
    <row r="108" spans="1:3" x14ac:dyDescent="0.2">
      <c r="A108" s="1" t="s">
        <v>68</v>
      </c>
      <c r="B108" s="1" t="s">
        <v>130</v>
      </c>
      <c r="C108" s="1" t="s">
        <v>131</v>
      </c>
    </row>
    <row r="109" spans="1:3" x14ac:dyDescent="0.2">
      <c r="A109" s="1" t="s">
        <v>68</v>
      </c>
      <c r="B109" s="1" t="s">
        <v>40</v>
      </c>
      <c r="C109" s="1" t="s">
        <v>133</v>
      </c>
    </row>
    <row r="110" spans="1:3" x14ac:dyDescent="0.2">
      <c r="A110" s="1" t="s">
        <v>68</v>
      </c>
      <c r="B110" s="1" t="s">
        <v>134</v>
      </c>
      <c r="C110" s="1" t="s">
        <v>133</v>
      </c>
    </row>
    <row r="111" spans="1:3" x14ac:dyDescent="0.2">
      <c r="A111" s="1" t="s">
        <v>68</v>
      </c>
      <c r="B111" s="1" t="s">
        <v>87</v>
      </c>
      <c r="C111" s="1" t="s">
        <v>135</v>
      </c>
    </row>
    <row r="112" spans="1:3" x14ac:dyDescent="0.2">
      <c r="A112" s="1" t="s">
        <v>70</v>
      </c>
      <c r="B112" s="1" t="s">
        <v>12</v>
      </c>
      <c r="C112" s="1" t="s">
        <v>129</v>
      </c>
    </row>
    <row r="113" spans="1:3" x14ac:dyDescent="0.2">
      <c r="A113" s="1" t="s">
        <v>70</v>
      </c>
      <c r="B113" s="1" t="s">
        <v>130</v>
      </c>
      <c r="C113" s="1" t="s">
        <v>131</v>
      </c>
    </row>
    <row r="114" spans="1:3" x14ac:dyDescent="0.2">
      <c r="A114" s="1" t="s">
        <v>70</v>
      </c>
      <c r="B114" s="1" t="s">
        <v>40</v>
      </c>
      <c r="C114" s="1" t="s">
        <v>133</v>
      </c>
    </row>
    <row r="115" spans="1:3" x14ac:dyDescent="0.2">
      <c r="A115" s="1" t="s">
        <v>70</v>
      </c>
      <c r="B115" s="1" t="s">
        <v>134</v>
      </c>
      <c r="C115" s="1" t="s">
        <v>133</v>
      </c>
    </row>
    <row r="116" spans="1:3" x14ac:dyDescent="0.2">
      <c r="A116" s="1" t="s">
        <v>70</v>
      </c>
      <c r="B116" s="1" t="s">
        <v>132</v>
      </c>
      <c r="C116" s="1" t="s">
        <v>135</v>
      </c>
    </row>
    <row r="117" spans="1:3" x14ac:dyDescent="0.2">
      <c r="A117" s="1" t="s">
        <v>72</v>
      </c>
      <c r="B117" s="1" t="s">
        <v>12</v>
      </c>
      <c r="C117" s="1" t="s">
        <v>129</v>
      </c>
    </row>
    <row r="118" spans="1:3" x14ac:dyDescent="0.2">
      <c r="A118" s="1" t="s">
        <v>72</v>
      </c>
      <c r="B118" s="1" t="s">
        <v>130</v>
      </c>
      <c r="C118" s="1" t="s">
        <v>131</v>
      </c>
    </row>
    <row r="119" spans="1:3" x14ac:dyDescent="0.2">
      <c r="A119" s="1" t="s">
        <v>72</v>
      </c>
      <c r="B119" s="1" t="s">
        <v>40</v>
      </c>
      <c r="C119" s="1" t="s">
        <v>133</v>
      </c>
    </row>
    <row r="120" spans="1:3" x14ac:dyDescent="0.2">
      <c r="A120" s="1" t="s">
        <v>72</v>
      </c>
      <c r="B120" s="1" t="s">
        <v>132</v>
      </c>
      <c r="C120" s="1" t="s">
        <v>133</v>
      </c>
    </row>
    <row r="121" spans="1:3" x14ac:dyDescent="0.2">
      <c r="A121" s="1" t="s">
        <v>72</v>
      </c>
      <c r="B121" s="1" t="s">
        <v>87</v>
      </c>
      <c r="C121" s="1" t="s">
        <v>135</v>
      </c>
    </row>
    <row r="122" spans="1:3" x14ac:dyDescent="0.2">
      <c r="A122" s="1" t="s">
        <v>73</v>
      </c>
      <c r="B122" s="1" t="s">
        <v>74</v>
      </c>
      <c r="C122" s="1" t="s">
        <v>129</v>
      </c>
    </row>
    <row r="123" spans="1:3" x14ac:dyDescent="0.2">
      <c r="A123" s="1" t="s">
        <v>73</v>
      </c>
      <c r="B123" s="1" t="s">
        <v>40</v>
      </c>
      <c r="C123" s="1" t="s">
        <v>131</v>
      </c>
    </row>
    <row r="124" spans="1:3" x14ac:dyDescent="0.2">
      <c r="A124" s="1" t="s">
        <v>73</v>
      </c>
      <c r="B124" s="1" t="s">
        <v>87</v>
      </c>
      <c r="C124" s="1" t="s">
        <v>133</v>
      </c>
    </row>
    <row r="125" spans="1:3" x14ac:dyDescent="0.2">
      <c r="A125" s="1" t="s">
        <v>73</v>
      </c>
      <c r="B125" s="1" t="s">
        <v>130</v>
      </c>
      <c r="C125" s="1" t="s">
        <v>135</v>
      </c>
    </row>
    <row r="126" spans="1:3" x14ac:dyDescent="0.2">
      <c r="A126" s="1" t="s">
        <v>76</v>
      </c>
      <c r="B126" s="1" t="s">
        <v>12</v>
      </c>
      <c r="C126" s="1" t="s">
        <v>129</v>
      </c>
    </row>
    <row r="127" spans="1:3" x14ac:dyDescent="0.2">
      <c r="A127" s="1" t="s">
        <v>76</v>
      </c>
      <c r="B127" s="1" t="s">
        <v>130</v>
      </c>
      <c r="C127" s="1" t="s">
        <v>131</v>
      </c>
    </row>
    <row r="128" spans="1:3" x14ac:dyDescent="0.2">
      <c r="A128" s="1" t="s">
        <v>76</v>
      </c>
      <c r="B128" s="1" t="s">
        <v>87</v>
      </c>
      <c r="C128" s="1" t="s">
        <v>133</v>
      </c>
    </row>
    <row r="129" spans="1:3" x14ac:dyDescent="0.2">
      <c r="A129" s="1" t="s">
        <v>76</v>
      </c>
      <c r="B129" s="1" t="s">
        <v>40</v>
      </c>
      <c r="C129" s="1" t="s">
        <v>135</v>
      </c>
    </row>
    <row r="130" spans="1:3" x14ac:dyDescent="0.2">
      <c r="A130" s="1" t="s">
        <v>80</v>
      </c>
      <c r="B130" s="1" t="s">
        <v>83</v>
      </c>
      <c r="C130" s="1" t="s">
        <v>129</v>
      </c>
    </row>
    <row r="131" spans="1:3" x14ac:dyDescent="0.2">
      <c r="A131" s="1" t="s">
        <v>80</v>
      </c>
      <c r="B131" s="1" t="s">
        <v>130</v>
      </c>
      <c r="C131" s="1" t="s">
        <v>131</v>
      </c>
    </row>
    <row r="132" spans="1:3" x14ac:dyDescent="0.2">
      <c r="A132" s="1" t="s">
        <v>80</v>
      </c>
      <c r="B132" s="1" t="s">
        <v>87</v>
      </c>
      <c r="C132" s="1" t="s">
        <v>133</v>
      </c>
    </row>
    <row r="133" spans="1:3" x14ac:dyDescent="0.2">
      <c r="A133" s="1" t="s">
        <v>80</v>
      </c>
      <c r="B133" s="1" t="s">
        <v>12</v>
      </c>
      <c r="C133" s="1" t="s">
        <v>135</v>
      </c>
    </row>
    <row r="134" spans="1:3" x14ac:dyDescent="0.2">
      <c r="A134" s="1" t="s">
        <v>85</v>
      </c>
      <c r="B134" s="1" t="s">
        <v>87</v>
      </c>
      <c r="C134" s="1" t="s">
        <v>129</v>
      </c>
    </row>
    <row r="135" spans="1:3" x14ac:dyDescent="0.2">
      <c r="A135" s="1" t="s">
        <v>85</v>
      </c>
      <c r="B135" s="1" t="s">
        <v>74</v>
      </c>
      <c r="C135" s="1" t="s">
        <v>131</v>
      </c>
    </row>
    <row r="136" spans="1:3" x14ac:dyDescent="0.2">
      <c r="A136" s="1" t="s">
        <v>85</v>
      </c>
      <c r="B136" s="1" t="s">
        <v>40</v>
      </c>
      <c r="C136" s="1" t="s">
        <v>133</v>
      </c>
    </row>
    <row r="137" spans="1:3" x14ac:dyDescent="0.2">
      <c r="A137" s="1" t="s">
        <v>85</v>
      </c>
      <c r="B137" s="1" t="s">
        <v>130</v>
      </c>
      <c r="C137" s="1" t="s">
        <v>135</v>
      </c>
    </row>
    <row r="138" spans="1:3" x14ac:dyDescent="0.2">
      <c r="A138" s="1" t="s">
        <v>89</v>
      </c>
      <c r="B138" s="1" t="s">
        <v>87</v>
      </c>
      <c r="C138" s="1" t="s">
        <v>129</v>
      </c>
    </row>
    <row r="139" spans="1:3" x14ac:dyDescent="0.2">
      <c r="A139" s="1" t="s">
        <v>89</v>
      </c>
      <c r="B139" s="1" t="s">
        <v>74</v>
      </c>
      <c r="C139" s="1" t="s">
        <v>131</v>
      </c>
    </row>
    <row r="140" spans="1:3" x14ac:dyDescent="0.2">
      <c r="A140" s="1" t="s">
        <v>89</v>
      </c>
      <c r="B140" s="1" t="s">
        <v>40</v>
      </c>
      <c r="C140" s="1" t="s">
        <v>133</v>
      </c>
    </row>
    <row r="141" spans="1:3" x14ac:dyDescent="0.2">
      <c r="A141" s="1" t="s">
        <v>89</v>
      </c>
      <c r="B141" s="1" t="s">
        <v>130</v>
      </c>
      <c r="C141" s="1" t="s">
        <v>135</v>
      </c>
    </row>
    <row r="142" spans="1:3" x14ac:dyDescent="0.2">
      <c r="A142" s="1" t="s">
        <v>92</v>
      </c>
      <c r="B142" s="1" t="s">
        <v>95</v>
      </c>
      <c r="C142" s="1" t="s">
        <v>129</v>
      </c>
    </row>
    <row r="143" spans="1:3" x14ac:dyDescent="0.2">
      <c r="A143" s="1" t="s">
        <v>92</v>
      </c>
      <c r="B143" s="1" t="s">
        <v>74</v>
      </c>
      <c r="C143" s="1" t="s">
        <v>131</v>
      </c>
    </row>
    <row r="144" spans="1:3" x14ac:dyDescent="0.2">
      <c r="A144" s="1" t="s">
        <v>92</v>
      </c>
      <c r="B144" s="1" t="s">
        <v>87</v>
      </c>
      <c r="C144" s="1" t="s">
        <v>133</v>
      </c>
    </row>
    <row r="145" spans="1:3" x14ac:dyDescent="0.2">
      <c r="A145" s="1" t="s">
        <v>92</v>
      </c>
      <c r="B145" s="1" t="s">
        <v>130</v>
      </c>
      <c r="C145" s="1" t="s">
        <v>135</v>
      </c>
    </row>
    <row r="146" spans="1:3" x14ac:dyDescent="0.2">
      <c r="A146" s="1" t="s">
        <v>96</v>
      </c>
      <c r="B146" s="1" t="s">
        <v>100</v>
      </c>
      <c r="C146" s="1" t="s">
        <v>129</v>
      </c>
    </row>
    <row r="147" spans="1:3" x14ac:dyDescent="0.2">
      <c r="A147" s="1" t="s">
        <v>96</v>
      </c>
      <c r="B147" s="1" t="s">
        <v>74</v>
      </c>
      <c r="C147" s="1" t="s">
        <v>131</v>
      </c>
    </row>
    <row r="148" spans="1:3" x14ac:dyDescent="0.2">
      <c r="A148" s="1" t="s">
        <v>96</v>
      </c>
      <c r="B148" s="1" t="s">
        <v>87</v>
      </c>
      <c r="C148" s="1" t="s">
        <v>133</v>
      </c>
    </row>
    <row r="149" spans="1:3" x14ac:dyDescent="0.2">
      <c r="A149" s="1" t="s">
        <v>96</v>
      </c>
      <c r="B149" s="1" t="s">
        <v>130</v>
      </c>
      <c r="C149" s="1" t="s">
        <v>135</v>
      </c>
    </row>
    <row r="150" spans="1:3" x14ac:dyDescent="0.2">
      <c r="A150" s="1" t="s">
        <v>102</v>
      </c>
      <c r="B150" s="1" t="s">
        <v>87</v>
      </c>
      <c r="C150" s="1" t="s">
        <v>129</v>
      </c>
    </row>
    <row r="151" spans="1:3" x14ac:dyDescent="0.2">
      <c r="A151" s="1" t="s">
        <v>102</v>
      </c>
      <c r="B151" s="1" t="s">
        <v>130</v>
      </c>
      <c r="C151" s="1" t="s">
        <v>131</v>
      </c>
    </row>
    <row r="152" spans="1:3" x14ac:dyDescent="0.2">
      <c r="A152" s="1" t="s">
        <v>102</v>
      </c>
      <c r="B152" s="1" t="s">
        <v>132</v>
      </c>
      <c r="C152" s="1" t="s">
        <v>133</v>
      </c>
    </row>
    <row r="153" spans="1:3" x14ac:dyDescent="0.2">
      <c r="A153" s="1" t="s">
        <v>102</v>
      </c>
      <c r="B153" s="1" t="s">
        <v>12</v>
      </c>
      <c r="C153" s="1" t="s">
        <v>135</v>
      </c>
    </row>
    <row r="154" spans="1:3" x14ac:dyDescent="0.2">
      <c r="A154" s="1" t="s">
        <v>103</v>
      </c>
      <c r="B154" s="1" t="s">
        <v>100</v>
      </c>
      <c r="C154" s="1" t="s">
        <v>129</v>
      </c>
    </row>
    <row r="155" spans="1:3" x14ac:dyDescent="0.2">
      <c r="A155" s="1" t="s">
        <v>103</v>
      </c>
      <c r="B155" s="1" t="s">
        <v>130</v>
      </c>
      <c r="C155" s="1" t="s">
        <v>131</v>
      </c>
    </row>
    <row r="156" spans="1:3" x14ac:dyDescent="0.2">
      <c r="A156" s="1" t="s">
        <v>103</v>
      </c>
      <c r="B156" s="1" t="s">
        <v>87</v>
      </c>
      <c r="C156" s="1" t="s">
        <v>133</v>
      </c>
    </row>
    <row r="157" spans="1:3" x14ac:dyDescent="0.2">
      <c r="A157" s="1" t="s">
        <v>103</v>
      </c>
      <c r="B157" s="1" t="s">
        <v>74</v>
      </c>
      <c r="C157" s="1" t="s">
        <v>133</v>
      </c>
    </row>
    <row r="158" spans="1:3" x14ac:dyDescent="0.2">
      <c r="A158" s="1" t="s">
        <v>103</v>
      </c>
      <c r="B158" s="1" t="s">
        <v>132</v>
      </c>
      <c r="C158" s="1" t="s">
        <v>135</v>
      </c>
    </row>
    <row r="159" spans="1:3" x14ac:dyDescent="0.2">
      <c r="A159" s="1" t="s">
        <v>105</v>
      </c>
      <c r="B159" s="1" t="s">
        <v>100</v>
      </c>
      <c r="C159" s="1" t="s">
        <v>129</v>
      </c>
    </row>
    <row r="160" spans="1:3" x14ac:dyDescent="0.2">
      <c r="A160" s="1" t="s">
        <v>105</v>
      </c>
      <c r="B160" s="1" t="s">
        <v>74</v>
      </c>
      <c r="C160" s="1" t="s">
        <v>131</v>
      </c>
    </row>
    <row r="161" spans="1:3" x14ac:dyDescent="0.2">
      <c r="A161" s="1" t="s">
        <v>105</v>
      </c>
      <c r="B161" s="1" t="s">
        <v>87</v>
      </c>
      <c r="C161" s="1" t="s">
        <v>133</v>
      </c>
    </row>
    <row r="162" spans="1:3" x14ac:dyDescent="0.2">
      <c r="A162" s="1" t="s">
        <v>105</v>
      </c>
      <c r="B162" s="1" t="s">
        <v>130</v>
      </c>
      <c r="C162" s="1" t="s">
        <v>135</v>
      </c>
    </row>
    <row r="163" spans="1:3" x14ac:dyDescent="0.2">
      <c r="A163" s="1" t="s">
        <v>107</v>
      </c>
      <c r="B163" s="1" t="s">
        <v>12</v>
      </c>
      <c r="C163" s="1" t="s">
        <v>129</v>
      </c>
    </row>
    <row r="164" spans="1:3" x14ac:dyDescent="0.2">
      <c r="A164" s="1" t="s">
        <v>107</v>
      </c>
      <c r="B164" s="1" t="s">
        <v>130</v>
      </c>
      <c r="C164" s="1" t="s">
        <v>131</v>
      </c>
    </row>
    <row r="165" spans="1:3" x14ac:dyDescent="0.2">
      <c r="A165" s="1" t="s">
        <v>107</v>
      </c>
      <c r="B165" s="1" t="s">
        <v>87</v>
      </c>
      <c r="C165" s="1" t="s">
        <v>133</v>
      </c>
    </row>
    <row r="166" spans="1:3" x14ac:dyDescent="0.2">
      <c r="A166" s="1" t="s">
        <v>107</v>
      </c>
      <c r="B166" s="1" t="s">
        <v>132</v>
      </c>
      <c r="C166" s="1" t="s">
        <v>135</v>
      </c>
    </row>
    <row r="167" spans="1:3" x14ac:dyDescent="0.2">
      <c r="A167" s="1" t="s">
        <v>109</v>
      </c>
      <c r="B167" s="1" t="s">
        <v>83</v>
      </c>
      <c r="C167" s="1" t="s">
        <v>129</v>
      </c>
    </row>
    <row r="168" spans="1:3" x14ac:dyDescent="0.2">
      <c r="A168" s="1" t="s">
        <v>109</v>
      </c>
      <c r="B168" s="1" t="s">
        <v>130</v>
      </c>
      <c r="C168" s="1" t="s">
        <v>131</v>
      </c>
    </row>
    <row r="169" spans="1:3" x14ac:dyDescent="0.2">
      <c r="A169" s="1" t="s">
        <v>109</v>
      </c>
      <c r="B169" s="1" t="s">
        <v>87</v>
      </c>
      <c r="C169" s="1" t="s">
        <v>133</v>
      </c>
    </row>
    <row r="170" spans="1:3" x14ac:dyDescent="0.2">
      <c r="A170" s="1" t="s">
        <v>109</v>
      </c>
      <c r="B170" s="1" t="s">
        <v>12</v>
      </c>
      <c r="C170" s="1" t="s">
        <v>135</v>
      </c>
    </row>
    <row r="171" spans="1:3" x14ac:dyDescent="0.2">
      <c r="A171" s="1" t="s">
        <v>112</v>
      </c>
      <c r="B171" s="1" t="s">
        <v>12</v>
      </c>
      <c r="C171" s="1" t="s">
        <v>129</v>
      </c>
    </row>
    <row r="172" spans="1:3" x14ac:dyDescent="0.2">
      <c r="A172" s="1" t="s">
        <v>112</v>
      </c>
      <c r="B172" s="1" t="s">
        <v>130</v>
      </c>
      <c r="C172" s="1" t="s">
        <v>131</v>
      </c>
    </row>
    <row r="173" spans="1:3" x14ac:dyDescent="0.2">
      <c r="A173" s="1" t="s">
        <v>112</v>
      </c>
      <c r="B173" s="1" t="s">
        <v>132</v>
      </c>
      <c r="C173" s="1" t="s">
        <v>133</v>
      </c>
    </row>
    <row r="174" spans="1:3" x14ac:dyDescent="0.2">
      <c r="A174" s="1" t="s">
        <v>112</v>
      </c>
      <c r="B174" s="1" t="s">
        <v>87</v>
      </c>
      <c r="C174" s="1" t="s">
        <v>135</v>
      </c>
    </row>
    <row r="175" spans="1:3" x14ac:dyDescent="0.2">
      <c r="A175" s="1" t="s">
        <v>115</v>
      </c>
      <c r="B175" s="1" t="s">
        <v>83</v>
      </c>
      <c r="C175" s="1" t="s">
        <v>129</v>
      </c>
    </row>
    <row r="176" spans="1:3" x14ac:dyDescent="0.2">
      <c r="A176" s="1" t="s">
        <v>115</v>
      </c>
      <c r="B176" s="1" t="s">
        <v>130</v>
      </c>
      <c r="C176" s="1" t="s">
        <v>131</v>
      </c>
    </row>
    <row r="177" spans="1:3" x14ac:dyDescent="0.2">
      <c r="A177" s="1" t="s">
        <v>115</v>
      </c>
      <c r="B177" s="1" t="s">
        <v>87</v>
      </c>
      <c r="C177" s="1" t="s">
        <v>133</v>
      </c>
    </row>
    <row r="178" spans="1:3" x14ac:dyDescent="0.2">
      <c r="A178" s="1" t="s">
        <v>115</v>
      </c>
      <c r="B178" s="1" t="s">
        <v>12</v>
      </c>
      <c r="C178" s="1" t="s">
        <v>135</v>
      </c>
    </row>
    <row r="179" spans="1:3" x14ac:dyDescent="0.2">
      <c r="A179" s="1" t="s">
        <v>118</v>
      </c>
      <c r="B179" s="1" t="s">
        <v>12</v>
      </c>
      <c r="C179" s="1" t="s">
        <v>129</v>
      </c>
    </row>
    <row r="180" spans="1:3" x14ac:dyDescent="0.2">
      <c r="A180" s="1" t="s">
        <v>118</v>
      </c>
      <c r="B180" s="1" t="s">
        <v>130</v>
      </c>
      <c r="C180" s="1" t="s">
        <v>131</v>
      </c>
    </row>
    <row r="181" spans="1:3" x14ac:dyDescent="0.2">
      <c r="A181" s="1" t="s">
        <v>118</v>
      </c>
      <c r="B181" s="1" t="s">
        <v>132</v>
      </c>
      <c r="C181" s="1" t="s">
        <v>133</v>
      </c>
    </row>
    <row r="182" spans="1:3" x14ac:dyDescent="0.2">
      <c r="A182" s="1" t="s">
        <v>118</v>
      </c>
      <c r="B182" s="1" t="s">
        <v>87</v>
      </c>
      <c r="C182" s="1" t="s">
        <v>135</v>
      </c>
    </row>
    <row r="183" spans="1:3" x14ac:dyDescent="0.2">
      <c r="A183" s="1" t="s">
        <v>120</v>
      </c>
      <c r="B183" s="1" t="s">
        <v>40</v>
      </c>
      <c r="C183" s="1" t="s">
        <v>129</v>
      </c>
    </row>
    <row r="184" spans="1:3" x14ac:dyDescent="0.2">
      <c r="A184" s="1" t="s">
        <v>120</v>
      </c>
      <c r="B184" s="1" t="s">
        <v>137</v>
      </c>
      <c r="C184" s="1" t="s">
        <v>131</v>
      </c>
    </row>
    <row r="185" spans="1:3" x14ac:dyDescent="0.2">
      <c r="A185" s="1" t="s">
        <v>120</v>
      </c>
      <c r="B185" s="1" t="s">
        <v>74</v>
      </c>
      <c r="C185" s="1" t="s">
        <v>133</v>
      </c>
    </row>
    <row r="186" spans="1:3" x14ac:dyDescent="0.2">
      <c r="A186" s="1" t="s">
        <v>120</v>
      </c>
      <c r="B186" s="1" t="s">
        <v>130</v>
      </c>
      <c r="C186" s="1" t="s">
        <v>135</v>
      </c>
    </row>
    <row r="187" spans="1:3" x14ac:dyDescent="0.2">
      <c r="A187" s="1" t="s">
        <v>122</v>
      </c>
      <c r="B187" s="1" t="s">
        <v>12</v>
      </c>
      <c r="C187" s="1" t="s">
        <v>129</v>
      </c>
    </row>
    <row r="188" spans="1:3" x14ac:dyDescent="0.2">
      <c r="A188" s="1" t="s">
        <v>122</v>
      </c>
      <c r="B188" s="1" t="s">
        <v>130</v>
      </c>
      <c r="C188" s="1" t="s">
        <v>131</v>
      </c>
    </row>
    <row r="189" spans="1:3" x14ac:dyDescent="0.2">
      <c r="A189" s="1" t="s">
        <v>122</v>
      </c>
      <c r="B189" s="1" t="s">
        <v>40</v>
      </c>
      <c r="C189" s="1" t="s">
        <v>133</v>
      </c>
    </row>
    <row r="190" spans="1:3" x14ac:dyDescent="0.2">
      <c r="A190" s="1" t="s">
        <v>122</v>
      </c>
      <c r="B190" s="1" t="s">
        <v>134</v>
      </c>
      <c r="C190" s="1" t="s">
        <v>133</v>
      </c>
    </row>
    <row r="191" spans="1:3" x14ac:dyDescent="0.2">
      <c r="A191" s="1" t="s">
        <v>122</v>
      </c>
      <c r="B191" s="1" t="s">
        <v>87</v>
      </c>
      <c r="C191" s="1" t="s">
        <v>135</v>
      </c>
    </row>
    <row r="192" spans="1:3" x14ac:dyDescent="0.2">
      <c r="A192" s="1" t="s">
        <v>125</v>
      </c>
      <c r="B192" s="1" t="s">
        <v>12</v>
      </c>
      <c r="C192" s="1" t="s">
        <v>129</v>
      </c>
    </row>
    <row r="193" spans="1:3" x14ac:dyDescent="0.2">
      <c r="A193" s="1" t="s">
        <v>125</v>
      </c>
      <c r="B193" s="1" t="s">
        <v>130</v>
      </c>
      <c r="C193" s="1" t="s">
        <v>131</v>
      </c>
    </row>
    <row r="194" spans="1:3" x14ac:dyDescent="0.2">
      <c r="A194" s="1" t="s">
        <v>125</v>
      </c>
      <c r="B194" s="1" t="s">
        <v>40</v>
      </c>
      <c r="C194" s="1" t="s">
        <v>133</v>
      </c>
    </row>
    <row r="195" spans="1:3" x14ac:dyDescent="0.2">
      <c r="A195" s="1" t="s">
        <v>125</v>
      </c>
      <c r="B195" s="1" t="s">
        <v>132</v>
      </c>
      <c r="C195" s="1" t="s">
        <v>133</v>
      </c>
    </row>
    <row r="196" spans="1:3" x14ac:dyDescent="0.2">
      <c r="A196" s="1" t="s">
        <v>125</v>
      </c>
      <c r="B196" t="s">
        <v>87</v>
      </c>
      <c r="C196" s="1" t="s">
        <v>135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BC57-18C0-2F4C-B353-09DD365433AC}">
  <dimension ref="B1:G12"/>
  <sheetViews>
    <sheetView workbookViewId="0">
      <selection activeCell="B33" sqref="B33"/>
    </sheetView>
  </sheetViews>
  <sheetFormatPr defaultColWidth="11.5546875" defaultRowHeight="15" x14ac:dyDescent="0.2"/>
  <cols>
    <col min="2" max="2" width="57.21875" bestFit="1" customWidth="1"/>
    <col min="3" max="3" width="22.33203125" bestFit="1" customWidth="1"/>
  </cols>
  <sheetData>
    <row r="1" spans="2:7" ht="15.75" x14ac:dyDescent="0.25">
      <c r="B1" s="7" t="s">
        <v>4</v>
      </c>
      <c r="C1" s="2" t="s">
        <v>3</v>
      </c>
      <c r="D1" s="3" t="s">
        <v>129</v>
      </c>
      <c r="E1" s="3" t="s">
        <v>131</v>
      </c>
      <c r="F1" s="3" t="s">
        <v>133</v>
      </c>
      <c r="G1" s="4" t="s">
        <v>135</v>
      </c>
    </row>
    <row r="2" spans="2:7" x14ac:dyDescent="0.2">
      <c r="B2" s="9" t="s">
        <v>112</v>
      </c>
      <c r="C2" s="8" t="s">
        <v>113</v>
      </c>
      <c r="D2" s="1" t="s">
        <v>12</v>
      </c>
      <c r="E2" s="1" t="s">
        <v>130</v>
      </c>
      <c r="F2" s="1" t="s">
        <v>132</v>
      </c>
      <c r="G2" s="1" t="s">
        <v>87</v>
      </c>
    </row>
    <row r="3" spans="2:7" x14ac:dyDescent="0.2">
      <c r="B3" s="11" t="s">
        <v>112</v>
      </c>
      <c r="C3" s="10" t="s">
        <v>114</v>
      </c>
      <c r="D3" s="1" t="s">
        <v>12</v>
      </c>
      <c r="E3" s="1" t="s">
        <v>130</v>
      </c>
      <c r="F3" s="1" t="s">
        <v>132</v>
      </c>
      <c r="G3" s="1" t="s">
        <v>87</v>
      </c>
    </row>
    <row r="4" spans="2:7" x14ac:dyDescent="0.2">
      <c r="B4" s="9" t="s">
        <v>115</v>
      </c>
      <c r="C4" s="8" t="s">
        <v>111</v>
      </c>
      <c r="D4" s="1" t="s">
        <v>83</v>
      </c>
      <c r="E4" s="1" t="s">
        <v>130</v>
      </c>
      <c r="F4" s="1" t="s">
        <v>87</v>
      </c>
      <c r="G4" s="1" t="s">
        <v>12</v>
      </c>
    </row>
    <row r="5" spans="2:7" x14ac:dyDescent="0.2">
      <c r="B5" s="11" t="s">
        <v>115</v>
      </c>
      <c r="C5" s="10" t="s">
        <v>117</v>
      </c>
      <c r="D5" s="1" t="s">
        <v>83</v>
      </c>
      <c r="E5" s="1" t="s">
        <v>130</v>
      </c>
      <c r="F5" s="1" t="s">
        <v>87</v>
      </c>
      <c r="G5" s="1" t="s">
        <v>12</v>
      </c>
    </row>
    <row r="6" spans="2:7" x14ac:dyDescent="0.2">
      <c r="B6" s="9" t="s">
        <v>118</v>
      </c>
      <c r="C6" s="8" t="s">
        <v>119</v>
      </c>
      <c r="D6" s="1" t="s">
        <v>12</v>
      </c>
      <c r="E6" s="1" t="s">
        <v>130</v>
      </c>
      <c r="F6" s="1" t="s">
        <v>132</v>
      </c>
      <c r="G6" s="1" t="s">
        <v>87</v>
      </c>
    </row>
    <row r="7" spans="2:7" x14ac:dyDescent="0.2">
      <c r="B7" s="11" t="s">
        <v>120</v>
      </c>
      <c r="C7" s="10" t="s">
        <v>78</v>
      </c>
      <c r="D7" s="1" t="s">
        <v>40</v>
      </c>
      <c r="E7" s="1" t="s">
        <v>137</v>
      </c>
      <c r="F7" s="1" t="s">
        <v>74</v>
      </c>
      <c r="G7" s="1" t="s">
        <v>130</v>
      </c>
    </row>
    <row r="8" spans="2:7" x14ac:dyDescent="0.2">
      <c r="B8" s="9" t="s">
        <v>120</v>
      </c>
      <c r="C8" s="8" t="s">
        <v>121</v>
      </c>
      <c r="D8" s="1" t="s">
        <v>40</v>
      </c>
      <c r="E8" s="1" t="s">
        <v>137</v>
      </c>
      <c r="F8" s="1" t="s">
        <v>74</v>
      </c>
      <c r="G8" s="1" t="s">
        <v>130</v>
      </c>
    </row>
    <row r="9" spans="2:7" x14ac:dyDescent="0.2">
      <c r="B9" s="11" t="s">
        <v>122</v>
      </c>
      <c r="C9" s="10" t="s">
        <v>123</v>
      </c>
      <c r="D9" s="1" t="s">
        <v>12</v>
      </c>
      <c r="E9" s="1" t="s">
        <v>130</v>
      </c>
      <c r="F9" s="1" t="s">
        <v>40</v>
      </c>
      <c r="G9" s="1" t="s">
        <v>87</v>
      </c>
    </row>
    <row r="10" spans="2:7" x14ac:dyDescent="0.2">
      <c r="B10" s="9" t="s">
        <v>122</v>
      </c>
      <c r="C10" s="8" t="s">
        <v>124</v>
      </c>
      <c r="D10" s="1" t="s">
        <v>12</v>
      </c>
      <c r="E10" s="1" t="s">
        <v>130</v>
      </c>
      <c r="F10" s="1" t="s">
        <v>40</v>
      </c>
      <c r="G10" s="1" t="s">
        <v>87</v>
      </c>
    </row>
    <row r="11" spans="2:7" x14ac:dyDescent="0.2">
      <c r="B11" s="11" t="s">
        <v>125</v>
      </c>
      <c r="C11" s="10" t="s">
        <v>119</v>
      </c>
      <c r="D11" s="1" t="s">
        <v>12</v>
      </c>
      <c r="E11" s="1" t="s">
        <v>130</v>
      </c>
      <c r="F11" s="1" t="s">
        <v>40</v>
      </c>
      <c r="G11" s="1" t="s">
        <v>87</v>
      </c>
    </row>
    <row r="12" spans="2:7" x14ac:dyDescent="0.2">
      <c r="B12" s="9" t="s">
        <v>125</v>
      </c>
      <c r="C12" s="8" t="s">
        <v>126</v>
      </c>
      <c r="D12" s="1" t="s">
        <v>12</v>
      </c>
      <c r="E12" s="1" t="s">
        <v>130</v>
      </c>
      <c r="F12" s="1" t="s">
        <v>40</v>
      </c>
      <c r="G12" s="1" t="s">
        <v>87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A182C5-86D4-482A-8EDE-5D226BC058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Sheet4</vt:lpstr>
      <vt:lpstr>Artifacts</vt:lpstr>
      <vt:lpstr>SOP</vt:lpstr>
      <vt:lpstr>Sheet5</vt:lpstr>
      <vt:lpstr>Roles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Nisses-Gagnér, Rickard</dc:creator>
  <cp:lastModifiedBy>Nisses-Gagnér, Rickard</cp:lastModifiedBy>
  <dcterms:created xsi:type="dcterms:W3CDTF">2021-08-24T12:32:06Z</dcterms:created>
  <dcterms:modified xsi:type="dcterms:W3CDTF">2026-03-24T06:43:20Z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79ec1e-7734-4071-a4b9-9f091c05fa90_Enabled">
    <vt:lpwstr>true</vt:lpwstr>
  </property>
  <property fmtid="{D5CDD505-2E9C-101B-9397-08002B2CF9AE}" pid="3" name="MSIP_Label_6379ec1e-7734-4071-a4b9-9f091c05fa90_SetDate">
    <vt:lpwstr>2022-02-24T15:11:04Z</vt:lpwstr>
  </property>
  <property fmtid="{D5CDD505-2E9C-101B-9397-08002B2CF9AE}" pid="4" name="MSIP_Label_6379ec1e-7734-4071-a4b9-9f091c05fa90_Method">
    <vt:lpwstr>Standard</vt:lpwstr>
  </property>
  <property fmtid="{D5CDD505-2E9C-101B-9397-08002B2CF9AE}" pid="5" name="MSIP_Label_6379ec1e-7734-4071-a4b9-9f091c05fa90_Name">
    <vt:lpwstr>General-No-Marking</vt:lpwstr>
  </property>
  <property fmtid="{D5CDD505-2E9C-101B-9397-08002B2CF9AE}" pid="6" name="MSIP_Label_6379ec1e-7734-4071-a4b9-9f091c05fa90_SiteId">
    <vt:lpwstr>33dab507-5210-4075-805b-f2717d8cfa74</vt:lpwstr>
  </property>
  <property fmtid="{D5CDD505-2E9C-101B-9397-08002B2CF9AE}" pid="7" name="MSIP_Label_6379ec1e-7734-4071-a4b9-9f091c05fa90_ActionId">
    <vt:lpwstr>d8ca98a2-7cee-4e41-8664-f31b8d4e1aed</vt:lpwstr>
  </property>
  <property fmtid="{D5CDD505-2E9C-101B-9397-08002B2CF9AE}" pid="8" name="MSIP_Label_6379ec1e-7734-4071-a4b9-9f091c05fa90_ContentBits">
    <vt:lpwstr>0</vt:lpwstr>
  </property>
</Properties>
</file>