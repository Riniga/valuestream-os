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ssesR\github\riniga\valuestream-os\docs\"/>
    </mc:Choice>
  </mc:AlternateContent>
  <xr:revisionPtr revIDLastSave="0" documentId="13_ncr:1_{89256ED1-76B0-44D8-B234-52F0B9ECF8BC}" xr6:coauthVersionLast="47" xr6:coauthVersionMax="47" xr10:uidLastSave="{00000000-0000-0000-0000-000000000000}"/>
  <bookViews>
    <workbookView xWindow="51480" yWindow="2985" windowWidth="29040" windowHeight="15720" activeTab="2" xr2:uid="{D9CBA9EF-381C-544E-AD52-B83C1CF2E92A}"/>
  </bookViews>
  <sheets>
    <sheet name="SOP" sheetId="8" r:id="rId1"/>
    <sheet name="Roles" sheetId="3" r:id="rId2"/>
    <sheet name="Artifacts" sheetId="2" r:id="rId3"/>
    <sheet name="Sheet4" sheetId="6" r:id="rId4"/>
  </sheets>
  <definedNames>
    <definedName name="ExternalData_1" localSheetId="2" hidden="1">Artifacts!$A$1:$D$208</definedName>
    <definedName name="ExternalData_1" localSheetId="1" hidden="1">'Roles'!$B$1:$D$196</definedName>
    <definedName name="ExternalData_1" localSheetId="0" hidden="1">SOP!$A$1:$C$46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9" i="2"/>
  <c r="E8" i="2"/>
  <c r="E10" i="2"/>
  <c r="E11" i="2"/>
  <c r="E12" i="2"/>
  <c r="E14" i="2"/>
  <c r="E13" i="2"/>
  <c r="E15" i="2"/>
  <c r="E16" i="2"/>
  <c r="E17" i="2"/>
  <c r="E19" i="2"/>
  <c r="E18" i="2"/>
  <c r="E20" i="2"/>
  <c r="E21" i="2"/>
  <c r="E22" i="2"/>
  <c r="E23" i="2"/>
  <c r="E24" i="2"/>
  <c r="E25" i="2"/>
  <c r="E26" i="2"/>
  <c r="E27" i="2"/>
  <c r="E29" i="2"/>
  <c r="E28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F2" i="2"/>
  <c r="F3" i="2"/>
  <c r="F4" i="2"/>
  <c r="F5" i="2"/>
  <c r="F6" i="2"/>
  <c r="F7" i="2"/>
  <c r="F9" i="2"/>
  <c r="F8" i="2"/>
  <c r="F10" i="2"/>
  <c r="F11" i="2"/>
  <c r="F12" i="2"/>
  <c r="F14" i="2"/>
  <c r="F13" i="2"/>
  <c r="F15" i="2"/>
  <c r="F16" i="2"/>
  <c r="F17" i="2"/>
  <c r="F19" i="2"/>
  <c r="F18" i="2"/>
  <c r="F20" i="2"/>
  <c r="F21" i="2"/>
  <c r="F22" i="2"/>
  <c r="F23" i="2"/>
  <c r="F24" i="2"/>
  <c r="F25" i="2"/>
  <c r="F26" i="2"/>
  <c r="F27" i="2"/>
  <c r="F29" i="2"/>
  <c r="F28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G2" i="2"/>
  <c r="G3" i="2"/>
  <c r="G4" i="2"/>
  <c r="G5" i="2"/>
  <c r="G6" i="2"/>
  <c r="G7" i="2"/>
  <c r="G9" i="2"/>
  <c r="G8" i="2"/>
  <c r="G10" i="2"/>
  <c r="G11" i="2"/>
  <c r="G12" i="2"/>
  <c r="G14" i="2"/>
  <c r="G13" i="2"/>
  <c r="G15" i="2"/>
  <c r="G16" i="2"/>
  <c r="G17" i="2"/>
  <c r="G19" i="2"/>
  <c r="G18" i="2"/>
  <c r="G20" i="2"/>
  <c r="G21" i="2"/>
  <c r="G22" i="2"/>
  <c r="G23" i="2"/>
  <c r="G24" i="2"/>
  <c r="G25" i="2"/>
  <c r="G26" i="2"/>
  <c r="G27" i="2"/>
  <c r="G29" i="2"/>
  <c r="G28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C15AB7-C4E8-4E59-8300-6CCACF7CC29F}" keepAlive="1" name="Query - Artifacts" description="Connection to the 'Artifacts' query in the workbook." type="5" refreshedVersion="8" background="1" saveData="1">
    <dbPr connection="Provider=Microsoft.Mashup.OleDb.1;Data Source=$Workbook$;Location=Artifacts;Extended Properties=&quot;&quot;" command="SELECT * FROM [Artifacts]"/>
  </connection>
  <connection id="2" xr16:uid="{C7BF843E-1214-4E9B-B8BF-ED936A9E0A41}" keepAlive="1" name="Query - Roles" description="Connection to the 'Roles' query in the workbook." type="5" refreshedVersion="8" background="1" saveData="1">
    <dbPr connection="Provider=Microsoft.Mashup.OleDb.1;Data Source=$Workbook$;Location=Roles;Extended Properties=&quot;&quot;" command="SELECT * FROM [Roles]"/>
  </connection>
  <connection id="3" xr16:uid="{1F562C8C-18AF-4CD6-9511-49033EA9BD36}" keepAlive="1" name="Query - SOP" description="Connection to the 'SOP' query in the workbook." type="5" refreshedVersion="8" background="1" saveData="1">
    <dbPr connection="Provider=Microsoft.Mashup.OleDb.1;Data Source=$Workbook$;Location=SOP;Extended Properties=&quot;&quot;" command="SELECT * FROM [SOP]"/>
  </connection>
</connections>
</file>

<file path=xl/sharedStrings.xml><?xml version="1.0" encoding="utf-8"?>
<sst xmlns="http://schemas.openxmlformats.org/spreadsheetml/2006/main" count="1779" uniqueCount="189">
  <si>
    <t>Artifact</t>
  </si>
  <si>
    <t>SOP</t>
  </si>
  <si>
    <t>Input or output</t>
  </si>
  <si>
    <t>Responsible</t>
  </si>
  <si>
    <t>Övergripande behov</t>
  </si>
  <si>
    <t>docs\SOP\1.Kravställning\01_vision_och_malbild.md</t>
  </si>
  <si>
    <t>input</t>
  </si>
  <si>
    <t>Vision &amp; målbild</t>
  </si>
  <si>
    <t>output</t>
  </si>
  <si>
    <t>Business Analyst</t>
  </si>
  <si>
    <t>docs\SOP\1.Kravställning\02_affarsmal_och_vardebild.md</t>
  </si>
  <si>
    <t>docs\SOP\1.Kravställning\03_scope_och_avgransningar.md</t>
  </si>
  <si>
    <t>Scope &amp; avgränsningar</t>
  </si>
  <si>
    <t>Epics &amp; Capabilities</t>
  </si>
  <si>
    <t>docs\SOP\1.Kravställning\04_stakeholderkarta.md</t>
  </si>
  <si>
    <t>Stakeholderkarta</t>
  </si>
  <si>
    <t>Beroendekarta</t>
  </si>
  <si>
    <t>docs\SOP\1.Kravställning\05_domananalys.md</t>
  </si>
  <si>
    <t>User Stories</t>
  </si>
  <si>
    <t>Verksamhetsregler</t>
  </si>
  <si>
    <t>Domänmodell</t>
  </si>
  <si>
    <t>Begreppsmodell</t>
  </si>
  <si>
    <t>docs\SOP\1.Kravställning\06_user_journeys.md</t>
  </si>
  <si>
    <t>User journeys</t>
  </si>
  <si>
    <t>UX</t>
  </si>
  <si>
    <t>docs\SOP\1.Kravställning\07_skapa_story_map.md</t>
  </si>
  <si>
    <t>Story map</t>
  </si>
  <si>
    <t>Funktionella block</t>
  </si>
  <si>
    <t>docs\SOP\1.Kravställning\08_gruppera_i_epics_och_capabilities.md</t>
  </si>
  <si>
    <t>docs\SOP\1.Kravställning\09_prioritera_backlog.md</t>
  </si>
  <si>
    <t>Risker</t>
  </si>
  <si>
    <t>Prioriterad backlog</t>
  </si>
  <si>
    <t>docs\SOP\1.Kravställning\10_definiera_framgangskriterier.md</t>
  </si>
  <si>
    <t>KPI / värdemått</t>
  </si>
  <si>
    <t>Uppföljningsmodell</t>
  </si>
  <si>
    <t>docs\SOP\2. Målarkitektur\01_Etablera arkitekturmål.md</t>
  </si>
  <si>
    <t>Arkitekturmål</t>
  </si>
  <si>
    <t>Lösningsarkitekt</t>
  </si>
  <si>
    <t>Arkitekturprinciper</t>
  </si>
  <si>
    <t>docs\SOP\2. Målarkitektur\02_Definiera systemlandskap.md</t>
  </si>
  <si>
    <t>Systemlandskap</t>
  </si>
  <si>
    <t>docs\SOP\2. Målarkitektur\03_Definiera domänmodell.md</t>
  </si>
  <si>
    <t>docs\SOP\2. Målarkitektur\04_Definiera integrationsarkitektu.md</t>
  </si>
  <si>
    <t>Datamodell</t>
  </si>
  <si>
    <t>Integrationsarkitektur</t>
  </si>
  <si>
    <t>Integrationspunkter</t>
  </si>
  <si>
    <t>docs\SOP\2. Målarkitektur\05_Definiera API‑struktur.md</t>
  </si>
  <si>
    <t>API-specifikation</t>
  </si>
  <si>
    <t>docs\SOP\2. Målarkitektur\06_Definiera datamodell.md</t>
  </si>
  <si>
    <t>Dataarkitekt</t>
  </si>
  <si>
    <t>Dataägarskap</t>
  </si>
  <si>
    <t>docs\SOP\2. Målarkitektur\07_Definiera säkerhetsarkitektur.md</t>
  </si>
  <si>
    <t>Säkerhetsarkitektur</t>
  </si>
  <si>
    <t>Säkerhetsprinciper</t>
  </si>
  <si>
    <t>docs\SOP\2. Målarkitektur\08_Fastställ arkitekturprinciper.md</t>
  </si>
  <si>
    <t>docs\SOP\2. Målarkitektur\09_Definiera NFR.md</t>
  </si>
  <si>
    <t>Icke-funktionella krav (NFR)</t>
  </si>
  <si>
    <t>docs\SOP\2. Målarkitektur\10_Definiera teknisk plattform.md</t>
  </si>
  <si>
    <t>Teknisk plattform</t>
  </si>
  <si>
    <t>Målarkitektur</t>
  </si>
  <si>
    <t>docs\SOP\2. Målarkitektur\11_ Dokumentera målarkitektur.md</t>
  </si>
  <si>
    <t>docs\SOP\3. Roadmap\01_skapa_mvp.md</t>
  </si>
  <si>
    <t>MVP-definition</t>
  </si>
  <si>
    <t>docs\SOP\3. Roadmap\02_Strukturera story map till leveranspaket.md</t>
  </si>
  <si>
    <t>Releasepaket</t>
  </si>
  <si>
    <t>docs\SOP\3. Roadmap\03_Skapa releaseplan.md</t>
  </si>
  <si>
    <t>Releaseplan</t>
  </si>
  <si>
    <t>docs\SOP\3. Roadmap\04_Skapa produktroadmap.md</t>
  </si>
  <si>
    <t>Roadmap</t>
  </si>
  <si>
    <t>docs\SOP\3. Roadmap\05_Prioritera funktionalitet.md</t>
  </si>
  <si>
    <t>docs\SOP\3. Roadmap\06_Identifiera tekniska beroenden.md</t>
  </si>
  <si>
    <t>Teknisk Lead</t>
  </si>
  <si>
    <t>Sekvensplan</t>
  </si>
  <si>
    <t>docs\SOP\4. Leverans\01_backlog_refinement.md</t>
  </si>
  <si>
    <t>Feedback</t>
  </si>
  <si>
    <t>Arkitekturinsikter</t>
  </si>
  <si>
    <t>Ready backlog</t>
  </si>
  <si>
    <t>docs\SOP\4. Leverans\02_sprintplanering.md</t>
  </si>
  <si>
    <t>Teamkapacitet (behåll som egen artefakt)</t>
  </si>
  <si>
    <t>Sprintmål</t>
  </si>
  <si>
    <t>Scrum Master</t>
  </si>
  <si>
    <t>Sprint backlog</t>
  </si>
  <si>
    <t>docs\SOP\4. Leverans\03_utveckling.md</t>
  </si>
  <si>
    <t>Produktinkrement</t>
  </si>
  <si>
    <t>Utvecklare</t>
  </si>
  <si>
    <t>Kod för granskning</t>
  </si>
  <si>
    <t>docs\SOP\4. Leverans\04_kodgranskning.md</t>
  </si>
  <si>
    <t>Verifierad funktionalitet</t>
  </si>
  <si>
    <t>Kodförbättringar</t>
  </si>
  <si>
    <t>docs\SOP\4. Leverans\05_test.md</t>
  </si>
  <si>
    <t>Teststrategi</t>
  </si>
  <si>
    <t>Testresultat</t>
  </si>
  <si>
    <t>Testare</t>
  </si>
  <si>
    <t>docs\SOP\4. Leverans\06_integration_och_bygg.md</t>
  </si>
  <si>
    <t>CI/CD-pipeline</t>
  </si>
  <si>
    <t>Miljökonfiguration</t>
  </si>
  <si>
    <t>DevOps</t>
  </si>
  <si>
    <t>Demo-underlag</t>
  </si>
  <si>
    <t>docs\SOP\4. Leverans\07_demo.md</t>
  </si>
  <si>
    <t>docs\SOP\4. Leverans\08_release.md</t>
  </si>
  <si>
    <t>Release notes</t>
  </si>
  <si>
    <t>docs\SOP\4. Leverans\09_deployments.md</t>
  </si>
  <si>
    <t>Deployment</t>
  </si>
  <si>
    <t>docs\SOP\4. Leverans\10_uppdatera_dokumentation.md</t>
  </si>
  <si>
    <t>Dokumentation</t>
  </si>
  <si>
    <t>docs\SOP\4. Leverans\11_uppfoljning_och_forbattring.md</t>
  </si>
  <si>
    <t>Förbättringsförslag</t>
  </si>
  <si>
    <t>Retrospektiv</t>
  </si>
  <si>
    <t>docs\SOP\5. Repeat\01_utvardera_leveransresultat.md</t>
  </si>
  <si>
    <t>Leveransutvärdering</t>
  </si>
  <si>
    <t>Funktionella förbättringar</t>
  </si>
  <si>
    <t>docs\SOP\5. Repeat\02_utvardera_process_och_arbetssatt.md</t>
  </si>
  <si>
    <t>Tekniska hinder</t>
  </si>
  <si>
    <t>Processförbättringar</t>
  </si>
  <si>
    <t>docs\SOP\5. Repeat\03_samla_input_for_uppdaterad_kravstallning.md</t>
  </si>
  <si>
    <t>Kravställningsunderlag</t>
  </si>
  <si>
    <t>docs\SOP\5. Repeat\04_identifiera_arkitekturella_lardomar.md</t>
  </si>
  <si>
    <t>Tekniska förbättringar</t>
  </si>
  <si>
    <t>docs\SOP\5. Repeat\05_Förbereda nästa roadmap‑iteration.md</t>
  </si>
  <si>
    <t>Roadmap-input</t>
  </si>
  <si>
    <t>Roadmap-justering</t>
  </si>
  <si>
    <t>docs\SOP\5. Repeat\06_Förbereda nästa cykel.md</t>
  </si>
  <si>
    <t>Cykelstart-brief</t>
  </si>
  <si>
    <t>Type of RACI</t>
  </si>
  <si>
    <t>R</t>
  </si>
  <si>
    <t>Produktägare</t>
  </si>
  <si>
    <t>A</t>
  </si>
  <si>
    <t>Verksamhetsexperter</t>
  </si>
  <si>
    <t>C</t>
  </si>
  <si>
    <t>Projektledare</t>
  </si>
  <si>
    <t>I</t>
  </si>
  <si>
    <t>Användarrepresentanter</t>
  </si>
  <si>
    <t>Enterprise Arkitekt</t>
  </si>
  <si>
    <t>Grand Total</t>
  </si>
  <si>
    <t>Row Labels</t>
  </si>
  <si>
    <t>(Multiple Items)</t>
  </si>
  <si>
    <t>Role2</t>
  </si>
  <si>
    <t>Delprocess</t>
  </si>
  <si>
    <t>processsteg</t>
  </si>
  <si>
    <t>Kravställning</t>
  </si>
  <si>
    <t>Affärsmål &amp; värdebild</t>
  </si>
  <si>
    <t>Stakeholder-karta</t>
  </si>
  <si>
    <t>Domänanalys</t>
  </si>
  <si>
    <t>User Journeys / huvudflöden</t>
  </si>
  <si>
    <t>Skapa Story Map</t>
  </si>
  <si>
    <t>Gruppera i epics &amp; capabilities</t>
  </si>
  <si>
    <t>Prioritera backlog (hög nivå)</t>
  </si>
  <si>
    <t>Definiera framgångskriterier (KPI)</t>
  </si>
  <si>
    <t>Etablera arkitekturmål</t>
  </si>
  <si>
    <t>Definiera systemlandskap</t>
  </si>
  <si>
    <t>Definiera domänmodell</t>
  </si>
  <si>
    <t>Definiera integrationsarkitektur</t>
  </si>
  <si>
    <t>Definiera API-struktur</t>
  </si>
  <si>
    <t>Definiera datamodell (hög nivå)</t>
  </si>
  <si>
    <t>Definiera säkerhetsarkitektur</t>
  </si>
  <si>
    <t>Fastställ arkitekturprinciper</t>
  </si>
  <si>
    <t>Definiera NFR</t>
  </si>
  <si>
    <t>Definiera teknisk plattform</t>
  </si>
  <si>
    <t>Dokumentera målarkitektur</t>
  </si>
  <si>
    <t>Skapa MVP</t>
  </si>
  <si>
    <t>Strukturera story map till leveranspaket</t>
  </si>
  <si>
    <t>Skapa releaseplan</t>
  </si>
  <si>
    <t>Skapa produktroadmap</t>
  </si>
  <si>
    <t>Prioritera funktionalitet</t>
  </si>
  <si>
    <t>Identifiera tekniska beroenden</t>
  </si>
  <si>
    <t>Backlog refinement</t>
  </si>
  <si>
    <t>Leverans</t>
  </si>
  <si>
    <t>Sprintplanering</t>
  </si>
  <si>
    <t>Utveckling</t>
  </si>
  <si>
    <t>Kodgranskning</t>
  </si>
  <si>
    <t>Test</t>
  </si>
  <si>
    <t>Integration &amp; bygg (CI/CD)</t>
  </si>
  <si>
    <t>Demo</t>
  </si>
  <si>
    <t>Release</t>
  </si>
  <si>
    <t>Deployments</t>
  </si>
  <si>
    <t>Uppdatera dokumentation</t>
  </si>
  <si>
    <t>Uppföljning &amp; förbättring</t>
  </si>
  <si>
    <t>Utvärdera leveransresultat</t>
  </si>
  <si>
    <t>Repeat</t>
  </si>
  <si>
    <t>Utvärdera process &amp; arbetssätt</t>
  </si>
  <si>
    <t>Samla input för uppdaterad kravställning</t>
  </si>
  <si>
    <t>Identifiera arkitekturella lärdomar</t>
  </si>
  <si>
    <t>Förbereda nästa roadmap-iteration</t>
  </si>
  <si>
    <t>Förbereda nästa cykel</t>
  </si>
  <si>
    <t>Processsteg</t>
  </si>
  <si>
    <t>docs\SOP\sop-conventions-discovery.md</t>
  </si>
  <si>
    <t/>
  </si>
  <si>
    <t>Role</t>
  </si>
  <si>
    <t>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</si>
</sst>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199B6"/>
      <color rgb="FF143275"/>
      <color rgb="FF5968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ses-Gagnér, Rickard" refreshedDate="46108.282410416665" createdVersion="8" refreshedVersion="8" minRefreshableVersion="3" recordCount="207" xr:uid="{69026B49-2305-4F33-9E82-7B90FFEA7A78}">
  <cacheSource type="worksheet">
    <worksheetSource name="Artifacts"/>
  </cacheSource>
  <cacheFields count="7">
    <cacheField name="Artifact" numFmtId="0">
      <sharedItems count="64">
        <s v="Övergripande behov"/>
        <s v="Vision &amp; målbild"/>
        <s v="Scope &amp; avgränsningar"/>
        <s v="Epics &amp; Capabilities"/>
        <s v="Stakeholderkarta"/>
        <s v="Beroendekarta"/>
        <s v="User Stories"/>
        <s v="Verksamhetsregler"/>
        <s v="Domänmodell"/>
        <s v="Begreppsmodell"/>
        <s v="User journeys"/>
        <s v="Story map"/>
        <s v="Funktionella block"/>
        <s v="Risker"/>
        <s v="Prioriterad backlog"/>
        <s v="KPI / värdemått"/>
        <s v="Uppföljningsmodell"/>
        <s v="Arkitekturmål"/>
        <s v="Arkitekturprinciper"/>
        <s v="Systemlandskap"/>
        <s v="Datamodell"/>
        <s v="Integrationsarkitektur"/>
        <s v="Integrationspunkter"/>
        <s v="API-specifikation"/>
        <s v="Dataägarskap"/>
        <s v="Säkerhetsarkitektur"/>
        <s v="Säkerhetsprinciper"/>
        <s v="Icke-funktionella krav (NFR)"/>
        <s v="Teknisk plattform"/>
        <s v="Målarkitektur"/>
        <s v="MVP-definition"/>
        <s v="Releasepaket"/>
        <s v="Releaseplan"/>
        <s v="Roadmap"/>
        <s v="Sekvensplan"/>
        <s v="Feedback"/>
        <s v="Arkitekturinsikter"/>
        <s v="Ready backlog"/>
        <s v="Teamkapacitet (behåll som egen artefakt)"/>
        <s v="Sprintmål"/>
        <s v="Sprint backlog"/>
        <s v="Produktinkrement"/>
        <s v="Kod för granskning"/>
        <s v="Verifierad funktionalitet"/>
        <s v="Kodförbättringar"/>
        <s v="Teststrategi"/>
        <s v="Testresultat"/>
        <s v="CI/CD-pipeline"/>
        <s v="Miljökonfiguration"/>
        <s v="Demo-underlag"/>
        <s v="Release notes"/>
        <s v="Deployment"/>
        <s v="Dokumentation"/>
        <s v="Förbättringsförslag"/>
        <s v="Retrospektiv"/>
        <s v="Leveransutvärdering"/>
        <s v="Funktionella förbättringar"/>
        <s v="Tekniska hinder"/>
        <s v="Processförbättringar"/>
        <s v="Kravställningsunderlag"/>
        <s v="Tekniska förbättringar"/>
        <s v="Roadmap-input"/>
        <s v="Roadmap-justering"/>
        <s v="Cykelstart-brief"/>
      </sharedItems>
    </cacheField>
    <cacheField name="SOP" numFmtId="0">
      <sharedItems count="44">
        <s v="docs\SOP\1.Kravställning\01_vision_och_malbild.md"/>
        <s v="docs\SOP\1.Kravställning\02_affarsmal_och_vardebild.md"/>
        <s v="docs\SOP\1.Kravställning\03_scope_och_avgransningar.md"/>
        <s v="docs\SOP\1.Kravställning\04_stakeholderkarta.md"/>
        <s v="docs\SOP\1.Kravställning\05_domananalys.md"/>
        <s v="docs\SOP\1.Kravställning\06_user_journeys.md"/>
        <s v="docs\SOP\1.Kravställning\07_skapa_story_map.md"/>
        <s v="docs\SOP\1.Kravställning\08_gruppera_i_epics_och_capabilities.md"/>
        <s v="docs\SOP\1.Kravställning\09_prioritera_backlog.md"/>
        <s v="docs\SOP\1.Kravställning\10_definiera_framgangskriterier.md"/>
        <s v="docs\SOP\2. Målarkitektur\01_Etablera arkitekturmål.md"/>
        <s v="docs\SOP\2. Målarkitektur\02_Definiera systemlandskap.md"/>
        <s v="docs\SOP\2. Målarkitektur\03_Definiera domänmodell.md"/>
        <s v="docs\SOP\2. Målarkitektur\04_Definiera integrationsarkitektu.md"/>
        <s v="docs\SOP\2. Målarkitektur\05_Definiera API‑struktur.md"/>
        <s v="docs\SOP\2. Målarkitektur\06_Definiera datamodell.md"/>
        <s v="docs\SOP\2. Målarkitektur\07_Definiera säkerhetsarkitektur.md"/>
        <s v="docs\SOP\2. Målarkitektur\08_Fastställ arkitekturprinciper.md"/>
        <s v="docs\SOP\2. Målarkitektur\09_Definiera NFR.md"/>
        <s v="docs\SOP\2. Målarkitektur\10_Definiera teknisk plattform.md"/>
        <s v="docs\SOP\2. Målarkitektur\11_ Dokumentera målarkitektur.md"/>
        <s v="docs\SOP\3. Roadmap\01_skapa_mvp.md"/>
        <s v="docs\SOP\3. Roadmap\02_Strukturera story map till leveranspaket.md"/>
        <s v="docs\SOP\3. Roadmap\03_Skapa releaseplan.md"/>
        <s v="docs\SOP\3. Roadmap\04_Skapa produktroadmap.md"/>
        <s v="docs\SOP\3. Roadmap\05_Prioritera funktionalitet.md"/>
        <s v="docs\SOP\3. Roadmap\06_Identifiera tekniska beroenden.md"/>
        <s v="docs\SOP\4. Leverans\01_backlog_refinement.md"/>
        <s v="docs\SOP\4. Leverans\02_sprintplanering.md"/>
        <s v="docs\SOP\4. Leverans\03_utveckling.md"/>
        <s v="docs\SOP\4. Leverans\04_kodgranskning.md"/>
        <s v="docs\SOP\4. Leverans\05_test.md"/>
        <s v="docs\SOP\4. Leverans\06_integration_och_bygg.md"/>
        <s v="docs\SOP\4. Leverans\07_demo.md"/>
        <s v="docs\SOP\4. Leverans\08_release.md"/>
        <s v="docs\SOP\4. Leverans\09_deployments.md"/>
        <s v="docs\SOP\4. Leverans\10_uppdatera_dokumentation.md"/>
        <s v="docs\SOP\4. Leverans\11_uppfoljning_och_forbattring.md"/>
        <s v="docs\SOP\5. Repeat\01_utvardera_leveransresultat.md"/>
        <s v="docs\SOP\5. Repeat\02_utvardera_process_och_arbetssatt.md"/>
        <s v="docs\SOP\5. Repeat\03_samla_input_for_uppdaterad_kravstallning.md"/>
        <s v="docs\SOP\5. Repeat\04_identifiera_arkitekturella_lardomar.md"/>
        <s v="docs\SOP\5. Repeat\05_Förbereda nästa roadmap‑iteration.md"/>
        <s v="docs\SOP\5. Repeat\06_Förbereda nästa cykel.md"/>
      </sharedItems>
    </cacheField>
    <cacheField name="Input or output" numFmtId="0">
      <sharedItems count="2">
        <s v="input"/>
        <s v="output"/>
      </sharedItems>
    </cacheField>
    <cacheField name="Responsible" numFmtId="0">
      <sharedItems count="10">
        <s v=""/>
        <s v="Business Analyst"/>
        <s v="UX"/>
        <s v="Lösningsarkitekt"/>
        <s v="Dataarkitekt"/>
        <s v="Teknisk Lead"/>
        <s v="Scrum Master"/>
        <s v="Utvecklare"/>
        <s v="Testare"/>
        <s v="DevOps"/>
      </sharedItems>
    </cacheField>
    <cacheField name="Uses" numFmtId="0">
      <sharedItems containsSemiMixedTypes="0" containsString="0" containsNumber="1" containsInteger="1" minValue="0" maxValue="7"/>
    </cacheField>
    <cacheField name="Processsteg" numFmtId="0">
      <sharedItems/>
    </cacheField>
    <cacheField name="Delproc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x v="0"/>
    <x v="0"/>
    <x v="0"/>
    <x v="0"/>
    <n v="0"/>
    <s v="Kravställning"/>
    <s v="Vision &amp; målbild"/>
  </r>
  <r>
    <x v="1"/>
    <x v="0"/>
    <x v="1"/>
    <x v="1"/>
    <n v="1"/>
    <s v="Kravställning"/>
    <s v="Vision &amp; målbild"/>
  </r>
  <r>
    <x v="0"/>
    <x v="1"/>
    <x v="0"/>
    <x v="0"/>
    <n v="1"/>
    <s v="Kravställning"/>
    <s v="Affärsmål &amp; värdebild"/>
  </r>
  <r>
    <x v="1"/>
    <x v="1"/>
    <x v="1"/>
    <x v="1"/>
    <n v="1"/>
    <s v="Kravställning"/>
    <s v="Affärsmål &amp; värdebild"/>
  </r>
  <r>
    <x v="1"/>
    <x v="2"/>
    <x v="0"/>
    <x v="0"/>
    <n v="1"/>
    <s v="Kravställning"/>
    <s v="Scope &amp; avgränsningar"/>
  </r>
  <r>
    <x v="0"/>
    <x v="2"/>
    <x v="0"/>
    <x v="0"/>
    <n v="2"/>
    <s v="Kravställning"/>
    <s v="Scope &amp; avgränsningar"/>
  </r>
  <r>
    <x v="2"/>
    <x v="2"/>
    <x v="1"/>
    <x v="1"/>
    <n v="2"/>
    <s v="Kravställning"/>
    <s v="Scope &amp; avgränsningar"/>
  </r>
  <r>
    <x v="3"/>
    <x v="2"/>
    <x v="1"/>
    <x v="1"/>
    <n v="2"/>
    <s v="Kravställning"/>
    <s v="Scope &amp; avgränsningar"/>
  </r>
  <r>
    <x v="2"/>
    <x v="2"/>
    <x v="1"/>
    <x v="1"/>
    <n v="2"/>
    <s v="Kravställning"/>
    <s v="Scope &amp; avgränsningar"/>
  </r>
  <r>
    <x v="2"/>
    <x v="3"/>
    <x v="0"/>
    <x v="0"/>
    <n v="2"/>
    <s v="Kravställning"/>
    <s v="Stakeholder-karta"/>
  </r>
  <r>
    <x v="1"/>
    <x v="3"/>
    <x v="0"/>
    <x v="0"/>
    <n v="2"/>
    <s v="Kravställning"/>
    <s v="Stakeholder-karta"/>
  </r>
  <r>
    <x v="4"/>
    <x v="3"/>
    <x v="1"/>
    <x v="1"/>
    <n v="2"/>
    <s v="Kravställning"/>
    <s v="Stakeholder-karta"/>
  </r>
  <r>
    <x v="5"/>
    <x v="3"/>
    <x v="1"/>
    <x v="1"/>
    <n v="2"/>
    <s v="Kravställning"/>
    <s v="Stakeholder-karta"/>
  </r>
  <r>
    <x v="4"/>
    <x v="4"/>
    <x v="0"/>
    <x v="0"/>
    <n v="2"/>
    <s v="Kravställning"/>
    <s v="Domänanalys"/>
  </r>
  <r>
    <x v="6"/>
    <x v="4"/>
    <x v="0"/>
    <x v="0"/>
    <n v="3"/>
    <s v="Kravställning"/>
    <s v="Domänanalys"/>
  </r>
  <r>
    <x v="7"/>
    <x v="4"/>
    <x v="0"/>
    <x v="0"/>
    <n v="3"/>
    <s v="Kravställning"/>
    <s v="Domänanalys"/>
  </r>
  <r>
    <x v="8"/>
    <x v="4"/>
    <x v="1"/>
    <x v="1"/>
    <n v="3"/>
    <s v="Kravställning"/>
    <s v="Domänanalys"/>
  </r>
  <r>
    <x v="9"/>
    <x v="4"/>
    <x v="1"/>
    <x v="1"/>
    <n v="3"/>
    <s v="Kravställning"/>
    <s v="Domänanalys"/>
  </r>
  <r>
    <x v="8"/>
    <x v="5"/>
    <x v="0"/>
    <x v="0"/>
    <n v="3"/>
    <s v="Kravställning"/>
    <s v="User Journeys / huvudflöden"/>
  </r>
  <r>
    <x v="6"/>
    <x v="5"/>
    <x v="0"/>
    <x v="0"/>
    <n v="3"/>
    <s v="Kravställning"/>
    <s v="User Journeys / huvudflöden"/>
  </r>
  <r>
    <x v="4"/>
    <x v="5"/>
    <x v="0"/>
    <x v="0"/>
    <n v="3"/>
    <s v="Kravställning"/>
    <s v="User Journeys / huvudflöden"/>
  </r>
  <r>
    <x v="10"/>
    <x v="5"/>
    <x v="1"/>
    <x v="2"/>
    <n v="3"/>
    <s v="Kravställning"/>
    <s v="User Journeys / huvudflöden"/>
  </r>
  <r>
    <x v="0"/>
    <x v="5"/>
    <x v="1"/>
    <x v="2"/>
    <n v="3"/>
    <s v="Kravställning"/>
    <s v="User Journeys / huvudflöden"/>
  </r>
  <r>
    <x v="10"/>
    <x v="6"/>
    <x v="0"/>
    <x v="0"/>
    <n v="3"/>
    <s v="Kravställning"/>
    <s v="Skapa Story Map"/>
  </r>
  <r>
    <x v="8"/>
    <x v="6"/>
    <x v="0"/>
    <x v="0"/>
    <n v="3"/>
    <s v="Kravställning"/>
    <s v="Skapa Story Map"/>
  </r>
  <r>
    <x v="0"/>
    <x v="6"/>
    <x v="0"/>
    <x v="0"/>
    <n v="3"/>
    <s v="Kravställning"/>
    <s v="Skapa Story Map"/>
  </r>
  <r>
    <x v="11"/>
    <x v="6"/>
    <x v="1"/>
    <x v="1"/>
    <n v="3"/>
    <s v="Kravställning"/>
    <s v="Skapa Story Map"/>
  </r>
  <r>
    <x v="12"/>
    <x v="6"/>
    <x v="1"/>
    <x v="1"/>
    <n v="3"/>
    <s v="Kravställning"/>
    <s v="Skapa Story Map"/>
  </r>
  <r>
    <x v="11"/>
    <x v="7"/>
    <x v="0"/>
    <x v="0"/>
    <n v="3"/>
    <s v="Kravställning"/>
    <s v="Gruppera i epics &amp; capabilities"/>
  </r>
  <r>
    <x v="6"/>
    <x v="7"/>
    <x v="0"/>
    <x v="0"/>
    <n v="2"/>
    <s v="Kravställning"/>
    <s v="Gruppera i epics &amp; capabilities"/>
  </r>
  <r>
    <x v="3"/>
    <x v="7"/>
    <x v="1"/>
    <x v="1"/>
    <n v="2"/>
    <s v="Kravställning"/>
    <s v="Gruppera i epics &amp; capabilities"/>
  </r>
  <r>
    <x v="3"/>
    <x v="8"/>
    <x v="0"/>
    <x v="0"/>
    <n v="2"/>
    <s v="Kravställning"/>
    <s v="Prioritera backlog (hög nivå)"/>
  </r>
  <r>
    <x v="1"/>
    <x v="8"/>
    <x v="0"/>
    <x v="0"/>
    <n v="3"/>
    <s v="Kravställning"/>
    <s v="Prioritera backlog (hög nivå)"/>
  </r>
  <r>
    <x v="13"/>
    <x v="8"/>
    <x v="0"/>
    <x v="0"/>
    <n v="3"/>
    <s v="Kravställning"/>
    <s v="Prioritera backlog (hög nivå)"/>
  </r>
  <r>
    <x v="14"/>
    <x v="8"/>
    <x v="1"/>
    <x v="1"/>
    <n v="3"/>
    <s v="Kravställning"/>
    <s v="Prioritera backlog (hög nivå)"/>
  </r>
  <r>
    <x v="1"/>
    <x v="9"/>
    <x v="0"/>
    <x v="0"/>
    <n v="3"/>
    <s v="Kravställning"/>
    <s v="Definiera framgångskriterier (KPI)"/>
  </r>
  <r>
    <x v="14"/>
    <x v="9"/>
    <x v="0"/>
    <x v="0"/>
    <n v="3"/>
    <s v="Kravställning"/>
    <s v="Definiera framgångskriterier (KPI)"/>
  </r>
  <r>
    <x v="11"/>
    <x v="9"/>
    <x v="0"/>
    <x v="0"/>
    <n v="3"/>
    <s v="Kravställning"/>
    <s v="Definiera framgångskriterier (KPI)"/>
  </r>
  <r>
    <x v="15"/>
    <x v="9"/>
    <x v="1"/>
    <x v="1"/>
    <n v="3"/>
    <s v="Kravställning"/>
    <s v="Definiera framgångskriterier (KPI)"/>
  </r>
  <r>
    <x v="16"/>
    <x v="9"/>
    <x v="1"/>
    <x v="1"/>
    <n v="3"/>
    <s v="Kravställning"/>
    <s v="Definiera framgångskriterier (KPI)"/>
  </r>
  <r>
    <x v="0"/>
    <x v="10"/>
    <x v="0"/>
    <x v="0"/>
    <n v="3"/>
    <s v="Målarkitektur"/>
    <s v="Etablera arkitekturmål"/>
  </r>
  <r>
    <x v="1"/>
    <x v="10"/>
    <x v="0"/>
    <x v="0"/>
    <n v="3"/>
    <s v="Målarkitektur"/>
    <s v="Etablera arkitekturmål"/>
  </r>
  <r>
    <x v="2"/>
    <x v="10"/>
    <x v="0"/>
    <x v="0"/>
    <n v="3"/>
    <s v="Målarkitektur"/>
    <s v="Etablera arkitekturmål"/>
  </r>
  <r>
    <x v="17"/>
    <x v="10"/>
    <x v="1"/>
    <x v="3"/>
    <n v="3"/>
    <s v="Målarkitektur"/>
    <s v="Etablera arkitekturmål"/>
  </r>
  <r>
    <x v="18"/>
    <x v="10"/>
    <x v="1"/>
    <x v="3"/>
    <n v="3"/>
    <s v="Målarkitektur"/>
    <s v="Etablera arkitekturmål"/>
  </r>
  <r>
    <x v="17"/>
    <x v="11"/>
    <x v="0"/>
    <x v="0"/>
    <n v="3"/>
    <s v="Målarkitektur"/>
    <s v="Definiera systemlandskap"/>
  </r>
  <r>
    <x v="0"/>
    <x v="11"/>
    <x v="0"/>
    <x v="0"/>
    <n v="3"/>
    <s v="Målarkitektur"/>
    <s v="Definiera systemlandskap"/>
  </r>
  <r>
    <x v="5"/>
    <x v="11"/>
    <x v="0"/>
    <x v="0"/>
    <n v="3"/>
    <s v="Målarkitektur"/>
    <s v="Definiera systemlandskap"/>
  </r>
  <r>
    <x v="19"/>
    <x v="11"/>
    <x v="1"/>
    <x v="3"/>
    <n v="3"/>
    <s v="Målarkitektur"/>
    <s v="Definiera systemlandskap"/>
  </r>
  <r>
    <x v="19"/>
    <x v="12"/>
    <x v="0"/>
    <x v="0"/>
    <n v="3"/>
    <s v="Målarkitektur"/>
    <s v="Definiera domänmodell"/>
  </r>
  <r>
    <x v="9"/>
    <x v="12"/>
    <x v="0"/>
    <x v="0"/>
    <n v="3"/>
    <s v="Målarkitektur"/>
    <s v="Definiera domänmodell"/>
  </r>
  <r>
    <x v="7"/>
    <x v="12"/>
    <x v="0"/>
    <x v="0"/>
    <n v="3"/>
    <s v="Målarkitektur"/>
    <s v="Definiera domänmodell"/>
  </r>
  <r>
    <x v="8"/>
    <x v="12"/>
    <x v="1"/>
    <x v="1"/>
    <n v="3"/>
    <s v="Målarkitektur"/>
    <s v="Definiera domänmodell"/>
  </r>
  <r>
    <x v="9"/>
    <x v="12"/>
    <x v="1"/>
    <x v="1"/>
    <n v="3"/>
    <s v="Målarkitektur"/>
    <s v="Definiera domänmodell"/>
  </r>
  <r>
    <x v="19"/>
    <x v="13"/>
    <x v="0"/>
    <x v="0"/>
    <n v="3"/>
    <s v="Målarkitektur"/>
    <s v="Definiera integrationsarkitektur"/>
  </r>
  <r>
    <x v="8"/>
    <x v="13"/>
    <x v="0"/>
    <x v="0"/>
    <n v="3"/>
    <s v="Målarkitektur"/>
    <s v="Definiera integrationsarkitektur"/>
  </r>
  <r>
    <x v="20"/>
    <x v="13"/>
    <x v="0"/>
    <x v="0"/>
    <n v="3"/>
    <s v="Målarkitektur"/>
    <s v="Definiera integrationsarkitektur"/>
  </r>
  <r>
    <x v="21"/>
    <x v="13"/>
    <x v="1"/>
    <x v="3"/>
    <n v="3"/>
    <s v="Målarkitektur"/>
    <s v="Definiera integrationsarkitektur"/>
  </r>
  <r>
    <x v="22"/>
    <x v="13"/>
    <x v="1"/>
    <x v="3"/>
    <n v="3"/>
    <s v="Målarkitektur"/>
    <s v="Definiera integrationsarkitektur"/>
  </r>
  <r>
    <x v="21"/>
    <x v="14"/>
    <x v="0"/>
    <x v="0"/>
    <n v="3"/>
    <s v="Målarkitektur"/>
    <s v="Definiera API-struktur"/>
  </r>
  <r>
    <x v="8"/>
    <x v="14"/>
    <x v="0"/>
    <x v="0"/>
    <n v="2"/>
    <s v="Målarkitektur"/>
    <s v="Definiera API-struktur"/>
  </r>
  <r>
    <x v="23"/>
    <x v="14"/>
    <x v="1"/>
    <x v="3"/>
    <n v="2"/>
    <s v="Målarkitektur"/>
    <s v="Definiera API-struktur"/>
  </r>
  <r>
    <x v="8"/>
    <x v="15"/>
    <x v="0"/>
    <x v="0"/>
    <n v="2"/>
    <s v="Målarkitektur"/>
    <s v="Definiera datamodell (hög nivå)"/>
  </r>
  <r>
    <x v="23"/>
    <x v="15"/>
    <x v="0"/>
    <x v="0"/>
    <n v="3"/>
    <s v="Målarkitektur"/>
    <s v="Definiera datamodell (hög nivå)"/>
  </r>
  <r>
    <x v="21"/>
    <x v="15"/>
    <x v="0"/>
    <x v="0"/>
    <n v="3"/>
    <s v="Målarkitektur"/>
    <s v="Definiera datamodell (hög nivå)"/>
  </r>
  <r>
    <x v="20"/>
    <x v="15"/>
    <x v="1"/>
    <x v="4"/>
    <n v="3"/>
    <s v="Målarkitektur"/>
    <s v="Definiera datamodell (hög nivå)"/>
  </r>
  <r>
    <x v="24"/>
    <x v="15"/>
    <x v="1"/>
    <x v="4"/>
    <n v="3"/>
    <s v="Målarkitektur"/>
    <s v="Definiera datamodell (hög nivå)"/>
  </r>
  <r>
    <x v="20"/>
    <x v="16"/>
    <x v="0"/>
    <x v="0"/>
    <n v="3"/>
    <s v="Målarkitektur"/>
    <s v="Definiera säkerhetsarkitektur"/>
  </r>
  <r>
    <x v="21"/>
    <x v="16"/>
    <x v="0"/>
    <x v="0"/>
    <n v="3"/>
    <s v="Målarkitektur"/>
    <s v="Definiera säkerhetsarkitektur"/>
  </r>
  <r>
    <x v="17"/>
    <x v="16"/>
    <x v="0"/>
    <x v="0"/>
    <n v="3"/>
    <s v="Målarkitektur"/>
    <s v="Definiera säkerhetsarkitektur"/>
  </r>
  <r>
    <x v="25"/>
    <x v="16"/>
    <x v="1"/>
    <x v="3"/>
    <n v="3"/>
    <s v="Målarkitektur"/>
    <s v="Definiera säkerhetsarkitektur"/>
  </r>
  <r>
    <x v="26"/>
    <x v="16"/>
    <x v="1"/>
    <x v="3"/>
    <n v="3"/>
    <s v="Målarkitektur"/>
    <s v="Definiera säkerhetsarkitektur"/>
  </r>
  <r>
    <x v="17"/>
    <x v="17"/>
    <x v="0"/>
    <x v="0"/>
    <n v="3"/>
    <s v="Målarkitektur"/>
    <s v="Fastställ arkitekturprinciper"/>
  </r>
  <r>
    <x v="25"/>
    <x v="17"/>
    <x v="0"/>
    <x v="0"/>
    <n v="5"/>
    <s v="Målarkitektur"/>
    <s v="Fastställ arkitekturprinciper"/>
  </r>
  <r>
    <x v="21"/>
    <x v="17"/>
    <x v="0"/>
    <x v="0"/>
    <n v="5"/>
    <s v="Målarkitektur"/>
    <s v="Fastställ arkitekturprinciper"/>
  </r>
  <r>
    <x v="20"/>
    <x v="17"/>
    <x v="0"/>
    <x v="0"/>
    <n v="5"/>
    <s v="Målarkitektur"/>
    <s v="Fastställ arkitekturprinciper"/>
  </r>
  <r>
    <x v="23"/>
    <x v="17"/>
    <x v="0"/>
    <x v="0"/>
    <n v="5"/>
    <s v="Målarkitektur"/>
    <s v="Fastställ arkitekturprinciper"/>
  </r>
  <r>
    <x v="18"/>
    <x v="17"/>
    <x v="1"/>
    <x v="3"/>
    <n v="5"/>
    <s v="Målarkitektur"/>
    <s v="Fastställ arkitekturprinciper"/>
  </r>
  <r>
    <x v="18"/>
    <x v="18"/>
    <x v="0"/>
    <x v="0"/>
    <n v="5"/>
    <s v="Målarkitektur"/>
    <s v="Definiera NFR"/>
  </r>
  <r>
    <x v="20"/>
    <x v="18"/>
    <x v="0"/>
    <x v="0"/>
    <n v="3"/>
    <s v="Målarkitektur"/>
    <s v="Definiera NFR"/>
  </r>
  <r>
    <x v="25"/>
    <x v="18"/>
    <x v="0"/>
    <x v="0"/>
    <n v="3"/>
    <s v="Målarkitektur"/>
    <s v="Definiera NFR"/>
  </r>
  <r>
    <x v="27"/>
    <x v="18"/>
    <x v="1"/>
    <x v="3"/>
    <n v="3"/>
    <s v="Målarkitektur"/>
    <s v="Definiera NFR"/>
  </r>
  <r>
    <x v="18"/>
    <x v="19"/>
    <x v="0"/>
    <x v="0"/>
    <n v="3"/>
    <s v="Målarkitektur"/>
    <s v="Definiera teknisk plattform"/>
  </r>
  <r>
    <x v="27"/>
    <x v="19"/>
    <x v="0"/>
    <x v="0"/>
    <n v="3"/>
    <s v="Målarkitektur"/>
    <s v="Definiera teknisk plattform"/>
  </r>
  <r>
    <x v="22"/>
    <x v="19"/>
    <x v="0"/>
    <x v="0"/>
    <n v="3"/>
    <s v="Målarkitektur"/>
    <s v="Definiera teknisk plattform"/>
  </r>
  <r>
    <x v="28"/>
    <x v="19"/>
    <x v="1"/>
    <x v="3"/>
    <n v="3"/>
    <s v="Målarkitektur"/>
    <s v="Definiera teknisk plattform"/>
  </r>
  <r>
    <x v="29"/>
    <x v="19"/>
    <x v="1"/>
    <x v="3"/>
    <n v="3"/>
    <s v="Målarkitektur"/>
    <s v="Definiera teknisk plattform"/>
  </r>
  <r>
    <x v="19"/>
    <x v="20"/>
    <x v="0"/>
    <x v="0"/>
    <n v="3"/>
    <s v="Målarkitektur"/>
    <s v="Dokumentera målarkitektur"/>
  </r>
  <r>
    <x v="8"/>
    <x v="20"/>
    <x v="0"/>
    <x v="0"/>
    <n v="7"/>
    <s v="Målarkitektur"/>
    <s v="Dokumentera målarkitektur"/>
  </r>
  <r>
    <x v="21"/>
    <x v="20"/>
    <x v="0"/>
    <x v="0"/>
    <n v="7"/>
    <s v="Målarkitektur"/>
    <s v="Dokumentera målarkitektur"/>
  </r>
  <r>
    <x v="23"/>
    <x v="20"/>
    <x v="0"/>
    <x v="0"/>
    <n v="7"/>
    <s v="Målarkitektur"/>
    <s v="Dokumentera målarkitektur"/>
  </r>
  <r>
    <x v="20"/>
    <x v="20"/>
    <x v="0"/>
    <x v="0"/>
    <n v="7"/>
    <s v="Målarkitektur"/>
    <s v="Dokumentera målarkitektur"/>
  </r>
  <r>
    <x v="25"/>
    <x v="20"/>
    <x v="0"/>
    <x v="0"/>
    <n v="7"/>
    <s v="Målarkitektur"/>
    <s v="Dokumentera målarkitektur"/>
  </r>
  <r>
    <x v="28"/>
    <x v="20"/>
    <x v="0"/>
    <x v="0"/>
    <n v="7"/>
    <s v="Målarkitektur"/>
    <s v="Dokumentera målarkitektur"/>
  </r>
  <r>
    <x v="29"/>
    <x v="20"/>
    <x v="1"/>
    <x v="3"/>
    <n v="7"/>
    <s v="Målarkitektur"/>
    <s v="Dokumentera målarkitektur"/>
  </r>
  <r>
    <x v="11"/>
    <x v="21"/>
    <x v="0"/>
    <x v="0"/>
    <n v="7"/>
    <s v="Roadmap"/>
    <s v="Skapa MVP"/>
  </r>
  <r>
    <x v="3"/>
    <x v="21"/>
    <x v="0"/>
    <x v="0"/>
    <n v="3"/>
    <s v="Roadmap"/>
    <s v="Skapa MVP"/>
  </r>
  <r>
    <x v="1"/>
    <x v="21"/>
    <x v="0"/>
    <x v="0"/>
    <n v="3"/>
    <s v="Roadmap"/>
    <s v="Skapa MVP"/>
  </r>
  <r>
    <x v="30"/>
    <x v="21"/>
    <x v="1"/>
    <x v="1"/>
    <n v="3"/>
    <s v="Roadmap"/>
    <s v="Skapa MVP"/>
  </r>
  <r>
    <x v="11"/>
    <x v="22"/>
    <x v="0"/>
    <x v="0"/>
    <n v="3"/>
    <s v="Roadmap"/>
    <s v="Strukturera story map till leveranspaket"/>
  </r>
  <r>
    <x v="30"/>
    <x v="22"/>
    <x v="0"/>
    <x v="0"/>
    <n v="3"/>
    <s v="Roadmap"/>
    <s v="Strukturera story map till leveranspaket"/>
  </r>
  <r>
    <x v="3"/>
    <x v="22"/>
    <x v="0"/>
    <x v="0"/>
    <n v="3"/>
    <s v="Roadmap"/>
    <s v="Strukturera story map till leveranspaket"/>
  </r>
  <r>
    <x v="31"/>
    <x v="22"/>
    <x v="1"/>
    <x v="1"/>
    <n v="3"/>
    <s v="Roadmap"/>
    <s v="Strukturera story map till leveranspaket"/>
  </r>
  <r>
    <x v="31"/>
    <x v="23"/>
    <x v="0"/>
    <x v="0"/>
    <n v="3"/>
    <s v="Roadmap"/>
    <s v="Skapa releaseplan"/>
  </r>
  <r>
    <x v="30"/>
    <x v="23"/>
    <x v="0"/>
    <x v="0"/>
    <n v="3"/>
    <s v="Roadmap"/>
    <s v="Skapa releaseplan"/>
  </r>
  <r>
    <x v="5"/>
    <x v="23"/>
    <x v="0"/>
    <x v="0"/>
    <n v="3"/>
    <s v="Roadmap"/>
    <s v="Skapa releaseplan"/>
  </r>
  <r>
    <x v="32"/>
    <x v="23"/>
    <x v="1"/>
    <x v="1"/>
    <n v="3"/>
    <s v="Roadmap"/>
    <s v="Skapa releaseplan"/>
  </r>
  <r>
    <x v="32"/>
    <x v="24"/>
    <x v="0"/>
    <x v="0"/>
    <n v="3"/>
    <s v="Roadmap"/>
    <s v="Skapa produktroadmap"/>
  </r>
  <r>
    <x v="14"/>
    <x v="24"/>
    <x v="0"/>
    <x v="0"/>
    <n v="3"/>
    <s v="Roadmap"/>
    <s v="Skapa produktroadmap"/>
  </r>
  <r>
    <x v="5"/>
    <x v="24"/>
    <x v="0"/>
    <x v="0"/>
    <n v="3"/>
    <s v="Roadmap"/>
    <s v="Skapa produktroadmap"/>
  </r>
  <r>
    <x v="33"/>
    <x v="24"/>
    <x v="1"/>
    <x v="1"/>
    <n v="3"/>
    <s v="Roadmap"/>
    <s v="Skapa produktroadmap"/>
  </r>
  <r>
    <x v="31"/>
    <x v="25"/>
    <x v="0"/>
    <x v="0"/>
    <n v="3"/>
    <s v="Roadmap"/>
    <s v="Prioritera funktionalitet"/>
  </r>
  <r>
    <x v="5"/>
    <x v="25"/>
    <x v="0"/>
    <x v="0"/>
    <n v="4"/>
    <s v="Roadmap"/>
    <s v="Prioritera funktionalitet"/>
  </r>
  <r>
    <x v="30"/>
    <x v="25"/>
    <x v="0"/>
    <x v="0"/>
    <n v="4"/>
    <s v="Roadmap"/>
    <s v="Prioritera funktionalitet"/>
  </r>
  <r>
    <x v="15"/>
    <x v="25"/>
    <x v="0"/>
    <x v="0"/>
    <n v="4"/>
    <s v="Roadmap"/>
    <s v="Prioritera funktionalitet"/>
  </r>
  <r>
    <x v="14"/>
    <x v="25"/>
    <x v="1"/>
    <x v="1"/>
    <n v="4"/>
    <s v="Roadmap"/>
    <s v="Prioritera funktionalitet"/>
  </r>
  <r>
    <x v="31"/>
    <x v="26"/>
    <x v="0"/>
    <x v="0"/>
    <n v="4"/>
    <s v="Roadmap"/>
    <s v="Identifiera tekniska beroenden"/>
  </r>
  <r>
    <x v="8"/>
    <x v="26"/>
    <x v="0"/>
    <x v="0"/>
    <n v="3"/>
    <s v="Roadmap"/>
    <s v="Identifiera tekniska beroenden"/>
  </r>
  <r>
    <x v="21"/>
    <x v="26"/>
    <x v="0"/>
    <x v="0"/>
    <n v="3"/>
    <s v="Roadmap"/>
    <s v="Identifiera tekniska beroenden"/>
  </r>
  <r>
    <x v="5"/>
    <x v="26"/>
    <x v="1"/>
    <x v="5"/>
    <n v="3"/>
    <s v="Roadmap"/>
    <s v="Identifiera tekniska beroenden"/>
  </r>
  <r>
    <x v="34"/>
    <x v="26"/>
    <x v="1"/>
    <x v="5"/>
    <n v="3"/>
    <s v="Roadmap"/>
    <s v="Identifiera tekniska beroenden"/>
  </r>
  <r>
    <x v="14"/>
    <x v="27"/>
    <x v="0"/>
    <x v="0"/>
    <n v="3"/>
    <s v="Leverans"/>
    <s v="Backlog refinement"/>
  </r>
  <r>
    <x v="35"/>
    <x v="27"/>
    <x v="0"/>
    <x v="0"/>
    <n v="3"/>
    <s v="Leverans"/>
    <s v="Backlog refinement"/>
  </r>
  <r>
    <x v="36"/>
    <x v="27"/>
    <x v="0"/>
    <x v="0"/>
    <n v="3"/>
    <s v="Leverans"/>
    <s v="Backlog refinement"/>
  </r>
  <r>
    <x v="6"/>
    <x v="27"/>
    <x v="1"/>
    <x v="1"/>
    <n v="3"/>
    <s v="Leverans"/>
    <s v="Backlog refinement"/>
  </r>
  <r>
    <x v="37"/>
    <x v="27"/>
    <x v="1"/>
    <x v="1"/>
    <n v="3"/>
    <s v="Leverans"/>
    <s v="Backlog refinement"/>
  </r>
  <r>
    <x v="37"/>
    <x v="28"/>
    <x v="0"/>
    <x v="0"/>
    <n v="3"/>
    <s v="Leverans"/>
    <s v="Sprintplanering"/>
  </r>
  <r>
    <x v="38"/>
    <x v="28"/>
    <x v="0"/>
    <x v="0"/>
    <n v="3"/>
    <s v="Leverans"/>
    <s v="Sprintplanering"/>
  </r>
  <r>
    <x v="14"/>
    <x v="28"/>
    <x v="0"/>
    <x v="0"/>
    <n v="3"/>
    <s v="Leverans"/>
    <s v="Sprintplanering"/>
  </r>
  <r>
    <x v="39"/>
    <x v="28"/>
    <x v="1"/>
    <x v="6"/>
    <n v="3"/>
    <s v="Leverans"/>
    <s v="Sprintplanering"/>
  </r>
  <r>
    <x v="40"/>
    <x v="28"/>
    <x v="1"/>
    <x v="6"/>
    <n v="3"/>
    <s v="Leverans"/>
    <s v="Sprintplanering"/>
  </r>
  <r>
    <x v="40"/>
    <x v="29"/>
    <x v="0"/>
    <x v="0"/>
    <n v="3"/>
    <s v="Leverans"/>
    <s v="Utveckling"/>
  </r>
  <r>
    <x v="18"/>
    <x v="29"/>
    <x v="0"/>
    <x v="0"/>
    <n v="3"/>
    <s v="Leverans"/>
    <s v="Utveckling"/>
  </r>
  <r>
    <x v="18"/>
    <x v="29"/>
    <x v="0"/>
    <x v="0"/>
    <n v="3"/>
    <s v="Leverans"/>
    <s v="Utveckling"/>
  </r>
  <r>
    <x v="41"/>
    <x v="29"/>
    <x v="1"/>
    <x v="7"/>
    <n v="3"/>
    <s v="Leverans"/>
    <s v="Utveckling"/>
  </r>
  <r>
    <x v="42"/>
    <x v="29"/>
    <x v="1"/>
    <x v="7"/>
    <n v="3"/>
    <s v="Leverans"/>
    <s v="Utveckling"/>
  </r>
  <r>
    <x v="42"/>
    <x v="30"/>
    <x v="0"/>
    <x v="0"/>
    <n v="3"/>
    <s v="Leverans"/>
    <s v="Kodgranskning"/>
  </r>
  <r>
    <x v="18"/>
    <x v="30"/>
    <x v="0"/>
    <x v="0"/>
    <n v="3"/>
    <s v="Leverans"/>
    <s v="Kodgranskning"/>
  </r>
  <r>
    <x v="18"/>
    <x v="30"/>
    <x v="0"/>
    <x v="0"/>
    <n v="3"/>
    <s v="Leverans"/>
    <s v="Kodgranskning"/>
  </r>
  <r>
    <x v="43"/>
    <x v="30"/>
    <x v="1"/>
    <x v="7"/>
    <n v="3"/>
    <s v="Leverans"/>
    <s v="Kodgranskning"/>
  </r>
  <r>
    <x v="44"/>
    <x v="30"/>
    <x v="1"/>
    <x v="7"/>
    <n v="3"/>
    <s v="Leverans"/>
    <s v="Kodgranskning"/>
  </r>
  <r>
    <x v="43"/>
    <x v="31"/>
    <x v="0"/>
    <x v="0"/>
    <n v="3"/>
    <s v="Leverans"/>
    <s v="Test"/>
  </r>
  <r>
    <x v="6"/>
    <x v="31"/>
    <x v="0"/>
    <x v="0"/>
    <n v="3"/>
    <s v="Leverans"/>
    <s v="Test"/>
  </r>
  <r>
    <x v="45"/>
    <x v="31"/>
    <x v="0"/>
    <x v="0"/>
    <n v="3"/>
    <s v="Leverans"/>
    <s v="Test"/>
  </r>
  <r>
    <x v="46"/>
    <x v="31"/>
    <x v="1"/>
    <x v="8"/>
    <n v="3"/>
    <s v="Leverans"/>
    <s v="Test"/>
  </r>
  <r>
    <x v="43"/>
    <x v="31"/>
    <x v="1"/>
    <x v="8"/>
    <n v="3"/>
    <s v="Leverans"/>
    <s v="Test"/>
  </r>
  <r>
    <x v="43"/>
    <x v="32"/>
    <x v="0"/>
    <x v="0"/>
    <n v="3"/>
    <s v="Leverans"/>
    <s v="Integration &amp; bygg (CI/CD)"/>
  </r>
  <r>
    <x v="47"/>
    <x v="32"/>
    <x v="0"/>
    <x v="0"/>
    <n v="3"/>
    <s v="Leverans"/>
    <s v="Integration &amp; bygg (CI/CD)"/>
  </r>
  <r>
    <x v="48"/>
    <x v="32"/>
    <x v="0"/>
    <x v="0"/>
    <n v="3"/>
    <s v="Leverans"/>
    <s v="Integration &amp; bygg (CI/CD)"/>
  </r>
  <r>
    <x v="41"/>
    <x v="32"/>
    <x v="1"/>
    <x v="9"/>
    <n v="3"/>
    <s v="Leverans"/>
    <s v="Integration &amp; bygg (CI/CD)"/>
  </r>
  <r>
    <x v="49"/>
    <x v="32"/>
    <x v="1"/>
    <x v="9"/>
    <n v="3"/>
    <s v="Leverans"/>
    <s v="Integration &amp; bygg (CI/CD)"/>
  </r>
  <r>
    <x v="41"/>
    <x v="33"/>
    <x v="0"/>
    <x v="0"/>
    <n v="3"/>
    <s v="Leverans"/>
    <s v="Demo"/>
  </r>
  <r>
    <x v="39"/>
    <x v="33"/>
    <x v="0"/>
    <x v="0"/>
    <n v="2"/>
    <s v="Leverans"/>
    <s v="Demo"/>
  </r>
  <r>
    <x v="35"/>
    <x v="33"/>
    <x v="1"/>
    <x v="7"/>
    <n v="2"/>
    <s v="Leverans"/>
    <s v="Demo"/>
  </r>
  <r>
    <x v="43"/>
    <x v="33"/>
    <x v="1"/>
    <x v="7"/>
    <n v="2"/>
    <s v="Leverans"/>
    <s v="Demo"/>
  </r>
  <r>
    <x v="43"/>
    <x v="34"/>
    <x v="0"/>
    <x v="0"/>
    <n v="2"/>
    <s v="Leverans"/>
    <s v="Release"/>
  </r>
  <r>
    <x v="31"/>
    <x v="34"/>
    <x v="0"/>
    <x v="0"/>
    <n v="2"/>
    <s v="Leverans"/>
    <s v="Release"/>
  </r>
  <r>
    <x v="31"/>
    <x v="34"/>
    <x v="1"/>
    <x v="9"/>
    <n v="2"/>
    <s v="Leverans"/>
    <s v="Release"/>
  </r>
  <r>
    <x v="50"/>
    <x v="34"/>
    <x v="1"/>
    <x v="9"/>
    <n v="2"/>
    <s v="Leverans"/>
    <s v="Release"/>
  </r>
  <r>
    <x v="31"/>
    <x v="35"/>
    <x v="0"/>
    <x v="0"/>
    <n v="2"/>
    <s v="Leverans"/>
    <s v="Deployments"/>
  </r>
  <r>
    <x v="48"/>
    <x v="35"/>
    <x v="0"/>
    <x v="0"/>
    <n v="2"/>
    <s v="Leverans"/>
    <s v="Deployments"/>
  </r>
  <r>
    <x v="41"/>
    <x v="35"/>
    <x v="1"/>
    <x v="9"/>
    <n v="2"/>
    <s v="Leverans"/>
    <s v="Deployments"/>
  </r>
  <r>
    <x v="51"/>
    <x v="35"/>
    <x v="1"/>
    <x v="9"/>
    <n v="2"/>
    <s v="Leverans"/>
    <s v="Deployments"/>
  </r>
  <r>
    <x v="50"/>
    <x v="36"/>
    <x v="0"/>
    <x v="0"/>
    <n v="2"/>
    <s v="Leverans"/>
    <s v="Uppdatera dokumentation"/>
  </r>
  <r>
    <x v="41"/>
    <x v="36"/>
    <x v="0"/>
    <x v="0"/>
    <n v="3"/>
    <s v="Leverans"/>
    <s v="Uppdatera dokumentation"/>
  </r>
  <r>
    <x v="23"/>
    <x v="36"/>
    <x v="0"/>
    <x v="0"/>
    <n v="3"/>
    <s v="Leverans"/>
    <s v="Uppdatera dokumentation"/>
  </r>
  <r>
    <x v="52"/>
    <x v="36"/>
    <x v="1"/>
    <x v="1"/>
    <n v="3"/>
    <s v="Leverans"/>
    <s v="Uppdatera dokumentation"/>
  </r>
  <r>
    <x v="51"/>
    <x v="37"/>
    <x v="0"/>
    <x v="0"/>
    <n v="3"/>
    <s v="Leverans"/>
    <s v="Uppföljning &amp; förbättring"/>
  </r>
  <r>
    <x v="52"/>
    <x v="37"/>
    <x v="0"/>
    <x v="0"/>
    <n v="4"/>
    <s v="Leverans"/>
    <s v="Uppföljning &amp; förbättring"/>
  </r>
  <r>
    <x v="35"/>
    <x v="37"/>
    <x v="0"/>
    <x v="0"/>
    <n v="4"/>
    <s v="Leverans"/>
    <s v="Uppföljning &amp; förbättring"/>
  </r>
  <r>
    <x v="41"/>
    <x v="37"/>
    <x v="0"/>
    <x v="0"/>
    <n v="4"/>
    <s v="Leverans"/>
    <s v="Uppföljning &amp; förbättring"/>
  </r>
  <r>
    <x v="53"/>
    <x v="37"/>
    <x v="1"/>
    <x v="6"/>
    <n v="4"/>
    <s v="Leverans"/>
    <s v="Uppföljning &amp; förbättring"/>
  </r>
  <r>
    <x v="54"/>
    <x v="37"/>
    <x v="1"/>
    <x v="6"/>
    <n v="4"/>
    <s v="Leverans"/>
    <s v="Uppföljning &amp; förbättring"/>
  </r>
  <r>
    <x v="41"/>
    <x v="38"/>
    <x v="0"/>
    <x v="0"/>
    <n v="4"/>
    <s v="Repeat"/>
    <s v="Utvärdera leveransresultat"/>
  </r>
  <r>
    <x v="35"/>
    <x v="38"/>
    <x v="0"/>
    <x v="0"/>
    <n v="4"/>
    <s v="Repeat"/>
    <s v="Utvärdera leveransresultat"/>
  </r>
  <r>
    <x v="50"/>
    <x v="38"/>
    <x v="0"/>
    <x v="0"/>
    <n v="4"/>
    <s v="Repeat"/>
    <s v="Utvärdera leveransresultat"/>
  </r>
  <r>
    <x v="15"/>
    <x v="38"/>
    <x v="0"/>
    <x v="0"/>
    <n v="4"/>
    <s v="Repeat"/>
    <s v="Utvärdera leveransresultat"/>
  </r>
  <r>
    <x v="55"/>
    <x v="38"/>
    <x v="1"/>
    <x v="1"/>
    <n v="4"/>
    <s v="Repeat"/>
    <s v="Utvärdera leveransresultat"/>
  </r>
  <r>
    <x v="56"/>
    <x v="38"/>
    <x v="1"/>
    <x v="1"/>
    <n v="4"/>
    <s v="Repeat"/>
    <s v="Utvärdera leveransresultat"/>
  </r>
  <r>
    <x v="41"/>
    <x v="39"/>
    <x v="0"/>
    <x v="0"/>
    <n v="4"/>
    <s v="Repeat"/>
    <s v="Utvärdera process &amp; arbetssätt"/>
  </r>
  <r>
    <x v="57"/>
    <x v="39"/>
    <x v="0"/>
    <x v="0"/>
    <n v="3"/>
    <s v="Repeat"/>
    <s v="Utvärdera process &amp; arbetssätt"/>
  </r>
  <r>
    <x v="55"/>
    <x v="39"/>
    <x v="0"/>
    <x v="0"/>
    <n v="3"/>
    <s v="Repeat"/>
    <s v="Utvärdera process &amp; arbetssätt"/>
  </r>
  <r>
    <x v="54"/>
    <x v="39"/>
    <x v="1"/>
    <x v="6"/>
    <n v="3"/>
    <s v="Repeat"/>
    <s v="Utvärdera process &amp; arbetssätt"/>
  </r>
  <r>
    <x v="58"/>
    <x v="39"/>
    <x v="1"/>
    <x v="6"/>
    <n v="3"/>
    <s v="Repeat"/>
    <s v="Utvärdera process &amp; arbetssätt"/>
  </r>
  <r>
    <x v="55"/>
    <x v="40"/>
    <x v="0"/>
    <x v="0"/>
    <n v="3"/>
    <s v="Repeat"/>
    <s v="Samla input för uppdaterad kravställning"/>
  </r>
  <r>
    <x v="54"/>
    <x v="40"/>
    <x v="0"/>
    <x v="0"/>
    <n v="6"/>
    <s v="Repeat"/>
    <s v="Samla input för uppdaterad kravställning"/>
  </r>
  <r>
    <x v="35"/>
    <x v="40"/>
    <x v="0"/>
    <x v="0"/>
    <n v="6"/>
    <s v="Repeat"/>
    <s v="Samla input för uppdaterad kravställning"/>
  </r>
  <r>
    <x v="53"/>
    <x v="40"/>
    <x v="0"/>
    <x v="0"/>
    <n v="6"/>
    <s v="Repeat"/>
    <s v="Samla input för uppdaterad kravställning"/>
  </r>
  <r>
    <x v="0"/>
    <x v="40"/>
    <x v="0"/>
    <x v="0"/>
    <n v="6"/>
    <s v="Repeat"/>
    <s v="Samla input för uppdaterad kravställning"/>
  </r>
  <r>
    <x v="53"/>
    <x v="40"/>
    <x v="0"/>
    <x v="0"/>
    <n v="6"/>
    <s v="Repeat"/>
    <s v="Samla input för uppdaterad kravställning"/>
  </r>
  <r>
    <x v="59"/>
    <x v="40"/>
    <x v="1"/>
    <x v="1"/>
    <n v="6"/>
    <s v="Repeat"/>
    <s v="Samla input för uppdaterad kravställning"/>
  </r>
  <r>
    <x v="57"/>
    <x v="41"/>
    <x v="0"/>
    <x v="0"/>
    <n v="6"/>
    <s v="Repeat"/>
    <s v="Identifiera arkitekturella lärdomar"/>
  </r>
  <r>
    <x v="57"/>
    <x v="41"/>
    <x v="0"/>
    <x v="0"/>
    <n v="3"/>
    <s v="Repeat"/>
    <s v="Identifiera arkitekturella lärdomar"/>
  </r>
  <r>
    <x v="55"/>
    <x v="41"/>
    <x v="0"/>
    <x v="0"/>
    <n v="3"/>
    <s v="Repeat"/>
    <s v="Identifiera arkitekturella lärdomar"/>
  </r>
  <r>
    <x v="36"/>
    <x v="41"/>
    <x v="1"/>
    <x v="3"/>
    <n v="3"/>
    <s v="Repeat"/>
    <s v="Identifiera arkitekturella lärdomar"/>
  </r>
  <r>
    <x v="60"/>
    <x v="41"/>
    <x v="1"/>
    <x v="3"/>
    <n v="3"/>
    <s v="Repeat"/>
    <s v="Identifiera arkitekturella lärdomar"/>
  </r>
  <r>
    <x v="36"/>
    <x v="42"/>
    <x v="0"/>
    <x v="0"/>
    <n v="3"/>
    <s v="Repeat"/>
    <s v="Förbereda nästa roadmap-iteration"/>
  </r>
  <r>
    <x v="5"/>
    <x v="42"/>
    <x v="0"/>
    <x v="0"/>
    <n v="4"/>
    <s v="Repeat"/>
    <s v="Förbereda nästa roadmap-iteration"/>
  </r>
  <r>
    <x v="13"/>
    <x v="42"/>
    <x v="0"/>
    <x v="0"/>
    <n v="4"/>
    <s v="Repeat"/>
    <s v="Förbereda nästa roadmap-iteration"/>
  </r>
  <r>
    <x v="14"/>
    <x v="42"/>
    <x v="0"/>
    <x v="0"/>
    <n v="4"/>
    <s v="Repeat"/>
    <s v="Förbereda nästa roadmap-iteration"/>
  </r>
  <r>
    <x v="61"/>
    <x v="42"/>
    <x v="1"/>
    <x v="1"/>
    <n v="4"/>
    <s v="Repeat"/>
    <s v="Förbereda nästa roadmap-iteration"/>
  </r>
  <r>
    <x v="62"/>
    <x v="42"/>
    <x v="1"/>
    <x v="1"/>
    <n v="4"/>
    <s v="Repeat"/>
    <s v="Förbereda nästa roadmap-iteration"/>
  </r>
  <r>
    <x v="36"/>
    <x v="43"/>
    <x v="0"/>
    <x v="0"/>
    <n v="4"/>
    <s v="Repeat"/>
    <s v="Förbereda nästa cykel"/>
  </r>
  <r>
    <x v="61"/>
    <x v="43"/>
    <x v="0"/>
    <x v="0"/>
    <n v="3"/>
    <s v="Repeat"/>
    <s v="Förbereda nästa cykel"/>
  </r>
  <r>
    <x v="53"/>
    <x v="43"/>
    <x v="0"/>
    <x v="0"/>
    <n v="3"/>
    <s v="Repeat"/>
    <s v="Förbereda nästa cykel"/>
  </r>
  <r>
    <x v="59"/>
    <x v="43"/>
    <x v="1"/>
    <x v="1"/>
    <n v="3"/>
    <s v="Repeat"/>
    <s v="Förbereda nästa cykel"/>
  </r>
  <r>
    <x v="63"/>
    <x v="43"/>
    <x v="1"/>
    <x v="1"/>
    <n v="3"/>
    <s v="Repeat"/>
    <s v="Förbereda nästa cyke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B4C42-F1AF-49ED-A50F-0076BC252B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21" firstHeaderRow="1" firstDataRow="1" firstDataCol="1" rowPageCount="2" colPageCount="1"/>
  <pivotFields count="7">
    <pivotField axis="axisRow" showAll="0">
      <items count="65">
        <item x="23"/>
        <item x="36"/>
        <item x="17"/>
        <item x="18"/>
        <item x="9"/>
        <item x="5"/>
        <item x="47"/>
        <item x="63"/>
        <item x="20"/>
        <item x="24"/>
        <item x="49"/>
        <item x="51"/>
        <item x="52"/>
        <item x="8"/>
        <item x="3"/>
        <item x="35"/>
        <item x="12"/>
        <item x="56"/>
        <item x="53"/>
        <item x="27"/>
        <item x="21"/>
        <item x="22"/>
        <item x="42"/>
        <item x="44"/>
        <item x="15"/>
        <item x="59"/>
        <item x="55"/>
        <item x="48"/>
        <item x="30"/>
        <item x="29"/>
        <item x="14"/>
        <item x="58"/>
        <item x="41"/>
        <item x="37"/>
        <item x="50"/>
        <item x="31"/>
        <item x="32"/>
        <item x="54"/>
        <item x="13"/>
        <item x="33"/>
        <item x="61"/>
        <item x="62"/>
        <item x="2"/>
        <item x="34"/>
        <item x="40"/>
        <item x="39"/>
        <item x="4"/>
        <item x="11"/>
        <item x="19"/>
        <item x="25"/>
        <item x="26"/>
        <item x="38"/>
        <item x="28"/>
        <item x="60"/>
        <item x="57"/>
        <item x="46"/>
        <item x="45"/>
        <item x="16"/>
        <item x="10"/>
        <item x="6"/>
        <item x="43"/>
        <item x="7"/>
        <item x="1"/>
        <item x="0"/>
        <item t="default"/>
      </items>
    </pivotField>
    <pivotField axis="axisPage" multipleItemSelectionAllowed="1" showAll="0">
      <items count="45">
        <item x="0"/>
        <item x="1"/>
        <item x="2"/>
        <item x="3"/>
        <item x="4"/>
        <item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1">
        <item x="0"/>
        <item x="1"/>
        <item x="4"/>
        <item x="9"/>
        <item x="3"/>
        <item x="6"/>
        <item x="5"/>
        <item x="8"/>
        <item x="7"/>
        <item x="2"/>
        <item t="default"/>
      </items>
    </pivotField>
    <pivotField showAll="0"/>
    <pivotField showAll="0"/>
    <pivotField showAll="0"/>
  </pivotFields>
  <rowFields count="2">
    <field x="3"/>
    <field x="0"/>
  </rowFields>
  <rowItems count="17">
    <i>
      <x v="1"/>
    </i>
    <i r="1">
      <x v="4"/>
    </i>
    <i r="1">
      <x v="5"/>
    </i>
    <i r="1">
      <x v="13"/>
    </i>
    <i r="1">
      <x v="14"/>
    </i>
    <i r="1">
      <x v="16"/>
    </i>
    <i r="1">
      <x v="24"/>
    </i>
    <i r="1">
      <x v="30"/>
    </i>
    <i r="1">
      <x v="42"/>
    </i>
    <i r="1">
      <x v="46"/>
    </i>
    <i r="1">
      <x v="47"/>
    </i>
    <i r="1">
      <x v="57"/>
    </i>
    <i r="1">
      <x v="62"/>
    </i>
    <i>
      <x v="9"/>
    </i>
    <i r="1">
      <x v="58"/>
    </i>
    <i r="1">
      <x v="63"/>
    </i>
    <i t="grand">
      <x/>
    </i>
  </rowItems>
  <colItems count="1">
    <i/>
  </colItems>
  <pageFields count="2">
    <pageField fld="2" item="1" hier="-1"/>
    <pageField fld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A515A09-ACF3-41F4-BEEE-1B82A9541FD4}" autoFormatId="16" applyNumberFormats="0" applyBorderFormats="0" applyFontFormats="0" applyPatternFormats="0" applyAlignmentFormats="0" applyWidthHeightFormats="0">
  <queryTableRefresh nextId="7">
    <queryTableFields count="3">
      <queryTableField id="4" name="SOP" tableColumnId="1"/>
      <queryTableField id="5" name="Delprocess" tableColumnId="2"/>
      <queryTableField id="6" name="processsteg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72C3FE0-7FD9-4AE9-879A-D0A5191326F5}" autoFormatId="16" applyNumberFormats="0" applyBorderFormats="0" applyFontFormats="0" applyPatternFormats="0" applyAlignmentFormats="0" applyWidthHeightFormats="0">
  <queryTableRefresh nextId="11" unboundColumnsLeft="1">
    <queryTableFields count="4">
      <queryTableField id="4" dataBound="0" tableColumnId="4"/>
      <queryTableField id="8" name="Role" tableColumnId="2"/>
      <queryTableField id="9" name="SOP" tableColumnId="3"/>
      <queryTableField id="10" name="Type of RACI" tableColumnId="5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B9C090-AC60-42A1-9127-9509A4DC230D}" autoFormatId="16" applyNumberFormats="0" applyBorderFormats="0" applyFontFormats="0" applyPatternFormats="0" applyAlignmentFormats="0" applyWidthHeightFormats="0">
  <queryTableRefresh nextId="18" unboundColumnsRight="3">
    <queryTableFields count="7">
      <queryTableField id="14" name="Artifact" tableColumnId="6"/>
      <queryTableField id="15" name="SOP" tableColumnId="13"/>
      <queryTableField id="16" name="Input or output" tableColumnId="14"/>
      <queryTableField id="17" name="Responsible" tableColumnId="15"/>
      <queryTableField id="5" dataBound="0" tableColumnId="5"/>
      <queryTableField id="11" dataBound="0" tableColumnId="11"/>
      <queryTableField id="12" dataBound="0" tableColumnId="12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30FE88-76B0-492F-BA43-27D893B572AD}" name="SOP" displayName="SOP" ref="A1:C46" tableType="queryTable" totalsRowShown="0">
  <autoFilter ref="A1:C46" xr:uid="{9F30FE88-76B0-492F-BA43-27D893B572AD}"/>
  <tableColumns count="3">
    <tableColumn id="1" xr3:uid="{9200E817-64E1-4189-8AB7-99025C7CB2A8}" uniqueName="1" name="SOP" queryTableFieldId="4" dataDxfId="14"/>
    <tableColumn id="2" xr3:uid="{65A90458-3F1B-4A87-BFE2-C8AD032E660E}" uniqueName="2" name="Delprocess" queryTableFieldId="5" dataDxfId="13"/>
    <tableColumn id="3" xr3:uid="{9D2C06E3-7A5B-4AED-9ABE-81C3AA0CBCF3}" uniqueName="3" name="processsteg" queryTableFieldId="6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0E88E-B26A-4277-83F7-0E68C2F76381}" name="Roles" displayName="Roles" ref="A1:D196" tableType="queryTable" totalsRowShown="0" headerRowDxfId="11">
  <autoFilter ref="A1:D196" xr:uid="{3460E88E-B26A-4277-83F7-0E68C2F76381}"/>
  <tableColumns count="4">
    <tableColumn id="4" xr3:uid="{123199D4-188D-45ED-AF2E-FEFE0A829498}" uniqueName="4" name="Role2" queryTableFieldId="4" dataDxfId="10"/>
    <tableColumn id="2" xr3:uid="{1DAA71F0-F8D6-4FAF-AF24-C0E6254339F1}" uniqueName="2" name="Role" queryTableFieldId="8" dataDxfId="9"/>
    <tableColumn id="3" xr3:uid="{6FC0A4F1-4993-4924-B801-7554D905C3AB}" uniqueName="3" name="SOP" queryTableFieldId="9" dataDxfId="8"/>
    <tableColumn id="5" xr3:uid="{DF211EB6-4F14-4B29-8813-42D943BFA2B9}" uniqueName="5" name="Type of RACI" queryTableFieldId="10" dataDxfId="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3F491E-9505-4DB7-9BE2-A75F7F077135}" name="Artifacts" displayName="Artifacts" ref="A1:G208" tableType="queryTable" totalsRowShown="0">
  <autoFilter ref="A1:G208" xr:uid="{713F491E-9505-4DB7-9BE2-A75F7F077135}">
    <filterColumn colId="1">
      <filters>
        <filter val="docs\SOP\1.Kravställning\01_vision_och_malbild.md"/>
        <filter val="docs\SOP\1.Kravställning\02_affarsmal_och_vardebild.md"/>
        <filter val="docs\SOP\1.Kravställning\03_scope_och_avgransningar.md"/>
        <filter val="docs\SOP\1.Kravställning\04_stakeholderkarta.md"/>
        <filter val="docs\SOP\1.Kravställning\05_domananalys.md"/>
        <filter val="docs\SOP\1.Kravställning\06_user_journeys.md"/>
        <filter val="docs\SOP\1.Kravställning\07_skapa_story_map.md"/>
        <filter val="docs\SOP\1.Kravställning\08_gruppera_i_epics_och_capabilities.md"/>
        <filter val="docs\SOP\1.Kravställning\09_prioritera_backlog.md"/>
        <filter val="docs\SOP\1.Kravställning\10_definiera_framgangskriterier.md"/>
      </filters>
    </filterColumn>
    <filterColumn colId="2">
      <filters>
        <filter val="output"/>
      </filters>
    </filterColumn>
  </autoFilter>
  <sortState xmlns:xlrd2="http://schemas.microsoft.com/office/spreadsheetml/2017/richdata2" ref="A3:G41">
    <sortCondition ref="B3:B208"/>
  </sortState>
  <tableColumns count="7">
    <tableColumn id="6" xr3:uid="{B056A0DF-A82F-4BED-A775-DC2A54276190}" uniqueName="6" name="Artifact" queryTableFieldId="14" dataDxfId="6"/>
    <tableColumn id="13" xr3:uid="{F8D9E723-8B82-4272-AF1C-C70F24D46C41}" uniqueName="13" name="SOP" queryTableFieldId="15" dataDxfId="5"/>
    <tableColumn id="14" xr3:uid="{720A0C7C-67C2-4266-BA99-8FF88C91E62F}" uniqueName="14" name="Input or output" queryTableFieldId="16" dataDxfId="4"/>
    <tableColumn id="15" xr3:uid="{5F3AA674-2CBD-4E15-9076-F1AD990A505D}" uniqueName="15" name="Responsible" queryTableFieldId="17" dataDxfId="3"/>
    <tableColumn id="5" xr3:uid="{C3CCAE0E-967B-4030-A938-2606C159E2A3}" uniqueName="5" name="Uses" queryTableFieldId="5" dataDxfId="2">
      <calculatedColumnFormula>COUNTIFS(Artifacts[SOP],B1,Artifacts[Input or output],"input")</calculatedColumnFormula>
    </tableColumn>
    <tableColumn id="11" xr3:uid="{46FBFD78-A74A-48F6-87CD-EDD823E03360}" uniqueName="11" name="Processsteg" queryTableFieldId="11" dataDxfId="1">
      <calculatedColumnFormula>VLOOKUP(Artifacts[[#This Row],[SOP]],SOP[#All],3,FALSE)</calculatedColumnFormula>
    </tableColumn>
    <tableColumn id="12" xr3:uid="{1BA6D61F-FE71-4A31-96D9-BB5BF6155F3F}" uniqueName="12" name="Delprocess" queryTableFieldId="12" dataDxfId="0">
      <calculatedColumnFormula>VLOOKUP(Artifacts[[#This Row],[SOP]],SOP[#All],2,FALSE)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_Skanska_word och excel">
  <a:themeElements>
    <a:clrScheme name="Custom 7">
      <a:dk1>
        <a:srgbClr val="000000"/>
      </a:dk1>
      <a:lt1>
        <a:srgbClr val="FFFFFF"/>
      </a:lt1>
      <a:dk2>
        <a:srgbClr val="143275"/>
      </a:dk2>
      <a:lt2>
        <a:srgbClr val="ECECEC"/>
      </a:lt2>
      <a:accent1>
        <a:srgbClr val="143275"/>
      </a:accent1>
      <a:accent2>
        <a:srgbClr val="596891"/>
      </a:accent2>
      <a:accent3>
        <a:srgbClr val="3ECE7B"/>
      </a:accent3>
      <a:accent4>
        <a:srgbClr val="9199B6"/>
      </a:accent4>
      <a:accent5>
        <a:srgbClr val="C7CCDA"/>
      </a:accent5>
      <a:accent6>
        <a:srgbClr val="EBEBEB"/>
      </a:accent6>
      <a:hlink>
        <a:srgbClr val="143275"/>
      </a:hlink>
      <a:folHlink>
        <a:srgbClr val="143275"/>
      </a:folHlink>
    </a:clrScheme>
    <a:fontScheme name="Skansk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dirty="0" smtClean="0">
            <a:solidFill>
              <a:schemeClr val="accent1"/>
            </a:solidFill>
          </a:defRPr>
        </a:defPPr>
      </a:lstStyle>
    </a:txDef>
  </a:objectDefaults>
  <a:extraClrSchemeLst/>
  <a:custClrLst>
    <a:custClr name="Active Blue">
      <a:srgbClr val="2356E5"/>
    </a:custClr>
    <a:custClr name="Skanska Green">
      <a:srgbClr val="AEDDBC"/>
    </a:custClr>
    <a:custClr name="Active Yellow">
      <a:srgbClr val="FBED54"/>
    </a:custClr>
    <a:custClr name="Active Orange">
      <a:srgbClr val="F58713"/>
    </a:custClr>
    <a:custClr name="Active Red">
      <a:srgbClr val="EE2F53"/>
    </a:custClr>
    <a:custClr name="Purple">
      <a:srgbClr val="824A8E"/>
    </a:custClr>
    <a:custClr name="Pale Blue">
      <a:srgbClr val="3C589E"/>
    </a:custClr>
    <a:custClr name="Teal">
      <a:srgbClr val="4B9FA3"/>
    </a:custClr>
    <a:custClr name="Beige">
      <a:srgbClr val="DDD6C0"/>
    </a:custClr>
    <a:custClr name="Yellow">
      <a:srgbClr val="F4DD7D"/>
    </a:custClr>
    <a:custClr name="Orange">
      <a:srgbClr val="EDA977"/>
    </a:custClr>
    <a:custClr name="Red">
      <a:srgbClr val="AF3149"/>
    </a:custClr>
  </a:custClrLst>
  <a:extLst>
    <a:ext uri="{05A4C25C-085E-4340-85A3-A5531E510DB2}">
      <thm15:themeFamily xmlns:thm15="http://schemas.microsoft.com/office/thememl/2012/main" name="Tema_Skanska_word och excel" id="{469A82B8-D435-5E4E-94F6-6908983A25E1}" vid="{F0C83175-63BA-904A-B747-3804779EB5C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D404-E79E-40CA-A3B6-44088997367F}">
  <dimension ref="A1:C46"/>
  <sheetViews>
    <sheetView workbookViewId="0">
      <selection sqref="A1:C47"/>
    </sheetView>
  </sheetViews>
  <sheetFormatPr defaultRowHeight="15" x14ac:dyDescent="0.2"/>
  <cols>
    <col min="1" max="1" width="57.21875" bestFit="1" customWidth="1"/>
    <col min="2" max="2" width="32.33203125" bestFit="1" customWidth="1"/>
    <col min="3" max="3" width="13.33203125" bestFit="1" customWidth="1"/>
    <col min="4" max="4" width="57.21875" bestFit="1" customWidth="1"/>
    <col min="5" max="5" width="32.33203125" bestFit="1" customWidth="1"/>
    <col min="6" max="6" width="10.88671875" bestFit="1" customWidth="1"/>
  </cols>
  <sheetData>
    <row r="1" spans="1:3" x14ac:dyDescent="0.2">
      <c r="A1" t="s">
        <v>1</v>
      </c>
      <c r="B1" t="s">
        <v>137</v>
      </c>
      <c r="C1" t="s">
        <v>138</v>
      </c>
    </row>
    <row r="2" spans="1:3" x14ac:dyDescent="0.2">
      <c r="A2" t="s">
        <v>5</v>
      </c>
      <c r="B2" t="s">
        <v>7</v>
      </c>
      <c r="C2" t="s">
        <v>139</v>
      </c>
    </row>
    <row r="3" spans="1:3" x14ac:dyDescent="0.2">
      <c r="A3" t="s">
        <v>10</v>
      </c>
      <c r="B3" t="s">
        <v>140</v>
      </c>
      <c r="C3" t="s">
        <v>139</v>
      </c>
    </row>
    <row r="4" spans="1:3" x14ac:dyDescent="0.2">
      <c r="A4" t="s">
        <v>11</v>
      </c>
      <c r="B4" t="s">
        <v>12</v>
      </c>
      <c r="C4" t="s">
        <v>139</v>
      </c>
    </row>
    <row r="5" spans="1:3" x14ac:dyDescent="0.2">
      <c r="A5" t="s">
        <v>14</v>
      </c>
      <c r="B5" t="s">
        <v>141</v>
      </c>
      <c r="C5" t="s">
        <v>139</v>
      </c>
    </row>
    <row r="6" spans="1:3" x14ac:dyDescent="0.2">
      <c r="A6" t="s">
        <v>17</v>
      </c>
      <c r="B6" t="s">
        <v>142</v>
      </c>
      <c r="C6" t="s">
        <v>139</v>
      </c>
    </row>
    <row r="7" spans="1:3" x14ac:dyDescent="0.2">
      <c r="A7" t="s">
        <v>22</v>
      </c>
      <c r="B7" t="s">
        <v>143</v>
      </c>
      <c r="C7" t="s">
        <v>139</v>
      </c>
    </row>
    <row r="8" spans="1:3" x14ac:dyDescent="0.2">
      <c r="A8" t="s">
        <v>25</v>
      </c>
      <c r="B8" t="s">
        <v>144</v>
      </c>
      <c r="C8" t="s">
        <v>139</v>
      </c>
    </row>
    <row r="9" spans="1:3" x14ac:dyDescent="0.2">
      <c r="A9" t="s">
        <v>28</v>
      </c>
      <c r="B9" t="s">
        <v>145</v>
      </c>
      <c r="C9" t="s">
        <v>139</v>
      </c>
    </row>
    <row r="10" spans="1:3" x14ac:dyDescent="0.2">
      <c r="A10" t="s">
        <v>29</v>
      </c>
      <c r="B10" t="s">
        <v>146</v>
      </c>
      <c r="C10" t="s">
        <v>139</v>
      </c>
    </row>
    <row r="11" spans="1:3" x14ac:dyDescent="0.2">
      <c r="A11" t="s">
        <v>32</v>
      </c>
      <c r="B11" t="s">
        <v>147</v>
      </c>
      <c r="C11" t="s">
        <v>139</v>
      </c>
    </row>
    <row r="12" spans="1:3" x14ac:dyDescent="0.2">
      <c r="A12" t="s">
        <v>35</v>
      </c>
      <c r="B12" t="s">
        <v>148</v>
      </c>
      <c r="C12" t="s">
        <v>59</v>
      </c>
    </row>
    <row r="13" spans="1:3" x14ac:dyDescent="0.2">
      <c r="A13" t="s">
        <v>39</v>
      </c>
      <c r="B13" t="s">
        <v>149</v>
      </c>
      <c r="C13" t="s">
        <v>59</v>
      </c>
    </row>
    <row r="14" spans="1:3" x14ac:dyDescent="0.2">
      <c r="A14" t="s">
        <v>41</v>
      </c>
      <c r="B14" t="s">
        <v>150</v>
      </c>
      <c r="C14" t="s">
        <v>59</v>
      </c>
    </row>
    <row r="15" spans="1:3" x14ac:dyDescent="0.2">
      <c r="A15" t="s">
        <v>42</v>
      </c>
      <c r="B15" t="s">
        <v>151</v>
      </c>
      <c r="C15" t="s">
        <v>59</v>
      </c>
    </row>
    <row r="16" spans="1:3" x14ac:dyDescent="0.2">
      <c r="A16" t="s">
        <v>46</v>
      </c>
      <c r="B16" t="s">
        <v>152</v>
      </c>
      <c r="C16" t="s">
        <v>59</v>
      </c>
    </row>
    <row r="17" spans="1:3" x14ac:dyDescent="0.2">
      <c r="A17" t="s">
        <v>48</v>
      </c>
      <c r="B17" t="s">
        <v>153</v>
      </c>
      <c r="C17" t="s">
        <v>59</v>
      </c>
    </row>
    <row r="18" spans="1:3" x14ac:dyDescent="0.2">
      <c r="A18" t="s">
        <v>51</v>
      </c>
      <c r="B18" t="s">
        <v>154</v>
      </c>
      <c r="C18" t="s">
        <v>59</v>
      </c>
    </row>
    <row r="19" spans="1:3" x14ac:dyDescent="0.2">
      <c r="A19" t="s">
        <v>54</v>
      </c>
      <c r="B19" t="s">
        <v>155</v>
      </c>
      <c r="C19" t="s">
        <v>59</v>
      </c>
    </row>
    <row r="20" spans="1:3" x14ac:dyDescent="0.2">
      <c r="A20" t="s">
        <v>55</v>
      </c>
      <c r="B20" t="s">
        <v>156</v>
      </c>
      <c r="C20" t="s">
        <v>59</v>
      </c>
    </row>
    <row r="21" spans="1:3" x14ac:dyDescent="0.2">
      <c r="A21" t="s">
        <v>57</v>
      </c>
      <c r="B21" t="s">
        <v>157</v>
      </c>
      <c r="C21" t="s">
        <v>59</v>
      </c>
    </row>
    <row r="22" spans="1:3" x14ac:dyDescent="0.2">
      <c r="A22" t="s">
        <v>60</v>
      </c>
      <c r="B22" t="s">
        <v>158</v>
      </c>
      <c r="C22" t="s">
        <v>59</v>
      </c>
    </row>
    <row r="23" spans="1:3" x14ac:dyDescent="0.2">
      <c r="A23" t="s">
        <v>61</v>
      </c>
      <c r="B23" t="s">
        <v>159</v>
      </c>
      <c r="C23" t="s">
        <v>68</v>
      </c>
    </row>
    <row r="24" spans="1:3" x14ac:dyDescent="0.2">
      <c r="A24" t="s">
        <v>63</v>
      </c>
      <c r="B24" t="s">
        <v>160</v>
      </c>
      <c r="C24" t="s">
        <v>68</v>
      </c>
    </row>
    <row r="25" spans="1:3" x14ac:dyDescent="0.2">
      <c r="A25" t="s">
        <v>65</v>
      </c>
      <c r="B25" t="s">
        <v>161</v>
      </c>
      <c r="C25" t="s">
        <v>68</v>
      </c>
    </row>
    <row r="26" spans="1:3" x14ac:dyDescent="0.2">
      <c r="A26" t="s">
        <v>67</v>
      </c>
      <c r="B26" t="s">
        <v>162</v>
      </c>
      <c r="C26" t="s">
        <v>68</v>
      </c>
    </row>
    <row r="27" spans="1:3" x14ac:dyDescent="0.2">
      <c r="A27" t="s">
        <v>69</v>
      </c>
      <c r="B27" t="s">
        <v>163</v>
      </c>
      <c r="C27" t="s">
        <v>68</v>
      </c>
    </row>
    <row r="28" spans="1:3" x14ac:dyDescent="0.2">
      <c r="A28" t="s">
        <v>70</v>
      </c>
      <c r="B28" t="s">
        <v>164</v>
      </c>
      <c r="C28" t="s">
        <v>68</v>
      </c>
    </row>
    <row r="29" spans="1:3" x14ac:dyDescent="0.2">
      <c r="A29" t="s">
        <v>73</v>
      </c>
      <c r="B29" t="s">
        <v>165</v>
      </c>
      <c r="C29" t="s">
        <v>166</v>
      </c>
    </row>
    <row r="30" spans="1:3" x14ac:dyDescent="0.2">
      <c r="A30" t="s">
        <v>77</v>
      </c>
      <c r="B30" t="s">
        <v>167</v>
      </c>
      <c r="C30" t="s">
        <v>166</v>
      </c>
    </row>
    <row r="31" spans="1:3" x14ac:dyDescent="0.2">
      <c r="A31" t="s">
        <v>82</v>
      </c>
      <c r="B31" t="s">
        <v>168</v>
      </c>
      <c r="C31" t="s">
        <v>166</v>
      </c>
    </row>
    <row r="32" spans="1:3" x14ac:dyDescent="0.2">
      <c r="A32" t="s">
        <v>86</v>
      </c>
      <c r="B32" t="s">
        <v>169</v>
      </c>
      <c r="C32" t="s">
        <v>166</v>
      </c>
    </row>
    <row r="33" spans="1:3" x14ac:dyDescent="0.2">
      <c r="A33" t="s">
        <v>89</v>
      </c>
      <c r="B33" t="s">
        <v>170</v>
      </c>
      <c r="C33" t="s">
        <v>166</v>
      </c>
    </row>
    <row r="34" spans="1:3" x14ac:dyDescent="0.2">
      <c r="A34" t="s">
        <v>93</v>
      </c>
      <c r="B34" t="s">
        <v>171</v>
      </c>
      <c r="C34" t="s">
        <v>166</v>
      </c>
    </row>
    <row r="35" spans="1:3" x14ac:dyDescent="0.2">
      <c r="A35" t="s">
        <v>98</v>
      </c>
      <c r="B35" t="s">
        <v>172</v>
      </c>
      <c r="C35" t="s">
        <v>166</v>
      </c>
    </row>
    <row r="36" spans="1:3" x14ac:dyDescent="0.2">
      <c r="A36" t="s">
        <v>99</v>
      </c>
      <c r="B36" t="s">
        <v>173</v>
      </c>
      <c r="C36" t="s">
        <v>166</v>
      </c>
    </row>
    <row r="37" spans="1:3" x14ac:dyDescent="0.2">
      <c r="A37" t="s">
        <v>101</v>
      </c>
      <c r="B37" t="s">
        <v>174</v>
      </c>
      <c r="C37" t="s">
        <v>166</v>
      </c>
    </row>
    <row r="38" spans="1:3" x14ac:dyDescent="0.2">
      <c r="A38" t="s">
        <v>103</v>
      </c>
      <c r="B38" t="s">
        <v>175</v>
      </c>
      <c r="C38" t="s">
        <v>166</v>
      </c>
    </row>
    <row r="39" spans="1:3" x14ac:dyDescent="0.2">
      <c r="A39" t="s">
        <v>105</v>
      </c>
      <c r="B39" t="s">
        <v>176</v>
      </c>
      <c r="C39" t="s">
        <v>166</v>
      </c>
    </row>
    <row r="40" spans="1:3" x14ac:dyDescent="0.2">
      <c r="A40" t="s">
        <v>108</v>
      </c>
      <c r="B40" t="s">
        <v>177</v>
      </c>
      <c r="C40" t="s">
        <v>178</v>
      </c>
    </row>
    <row r="41" spans="1:3" x14ac:dyDescent="0.2">
      <c r="A41" t="s">
        <v>111</v>
      </c>
      <c r="B41" t="s">
        <v>179</v>
      </c>
      <c r="C41" t="s">
        <v>178</v>
      </c>
    </row>
    <row r="42" spans="1:3" x14ac:dyDescent="0.2">
      <c r="A42" t="s">
        <v>114</v>
      </c>
      <c r="B42" t="s">
        <v>180</v>
      </c>
      <c r="C42" t="s">
        <v>178</v>
      </c>
    </row>
    <row r="43" spans="1:3" x14ac:dyDescent="0.2">
      <c r="A43" t="s">
        <v>116</v>
      </c>
      <c r="B43" t="s">
        <v>181</v>
      </c>
      <c r="C43" t="s">
        <v>178</v>
      </c>
    </row>
    <row r="44" spans="1:3" x14ac:dyDescent="0.2">
      <c r="A44" t="s">
        <v>118</v>
      </c>
      <c r="B44" t="s">
        <v>182</v>
      </c>
      <c r="C44" t="s">
        <v>178</v>
      </c>
    </row>
    <row r="45" spans="1:3" x14ac:dyDescent="0.2">
      <c r="A45" t="s">
        <v>121</v>
      </c>
      <c r="B45" t="s">
        <v>183</v>
      </c>
      <c r="C45" t="s">
        <v>178</v>
      </c>
    </row>
    <row r="46" spans="1:3" x14ac:dyDescent="0.2">
      <c r="A46" t="s">
        <v>185</v>
      </c>
      <c r="B46" t="s">
        <v>186</v>
      </c>
      <c r="C46" t="s">
        <v>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7CB6-3CB2-44E0-8441-290843F82D5B}">
  <dimension ref="A1:D196"/>
  <sheetViews>
    <sheetView workbookViewId="0">
      <selection activeCell="C9" sqref="C9"/>
    </sheetView>
  </sheetViews>
  <sheetFormatPr defaultRowHeight="15" x14ac:dyDescent="0.2"/>
  <cols>
    <col min="1" max="1" width="19.77734375" bestFit="1" customWidth="1"/>
    <col min="2" max="2" width="19.77734375" customWidth="1"/>
    <col min="3" max="3" width="57.21875" bestFit="1" customWidth="1"/>
    <col min="4" max="4" width="13.88671875" bestFit="1" customWidth="1"/>
    <col min="5" max="5" width="19.77734375" bestFit="1" customWidth="1"/>
    <col min="6" max="6" width="57.21875" bestFit="1" customWidth="1"/>
    <col min="7" max="7" width="11.21875" bestFit="1" customWidth="1"/>
  </cols>
  <sheetData>
    <row r="1" spans="1:4" x14ac:dyDescent="0.2">
      <c r="A1" t="s">
        <v>136</v>
      </c>
      <c r="B1" t="s">
        <v>187</v>
      </c>
      <c r="C1" t="s">
        <v>1</v>
      </c>
      <c r="D1" t="s">
        <v>123</v>
      </c>
    </row>
    <row r="2" spans="1:4" x14ac:dyDescent="0.2">
      <c r="A2" t="s">
        <v>9</v>
      </c>
      <c r="B2" t="s">
        <v>9</v>
      </c>
      <c r="C2" t="s">
        <v>5</v>
      </c>
      <c r="D2" t="s">
        <v>124</v>
      </c>
    </row>
    <row r="3" spans="1:4" x14ac:dyDescent="0.2">
      <c r="A3" t="s">
        <v>125</v>
      </c>
      <c r="B3" t="s">
        <v>125</v>
      </c>
      <c r="C3" t="s">
        <v>5</v>
      </c>
      <c r="D3" t="s">
        <v>126</v>
      </c>
    </row>
    <row r="4" spans="1:4" x14ac:dyDescent="0.2">
      <c r="A4" t="s">
        <v>127</v>
      </c>
      <c r="B4" t="s">
        <v>127</v>
      </c>
      <c r="C4" t="s">
        <v>5</v>
      </c>
      <c r="D4" t="s">
        <v>128</v>
      </c>
    </row>
    <row r="5" spans="1:4" x14ac:dyDescent="0.2">
      <c r="A5" t="s">
        <v>129</v>
      </c>
      <c r="B5" t="s">
        <v>129</v>
      </c>
      <c r="C5" t="s">
        <v>5</v>
      </c>
      <c r="D5" t="s">
        <v>130</v>
      </c>
    </row>
    <row r="6" spans="1:4" x14ac:dyDescent="0.2">
      <c r="A6" t="s">
        <v>9</v>
      </c>
      <c r="B6" t="s">
        <v>9</v>
      </c>
      <c r="C6" t="s">
        <v>10</v>
      </c>
      <c r="D6" t="s">
        <v>124</v>
      </c>
    </row>
    <row r="7" spans="1:4" x14ac:dyDescent="0.2">
      <c r="A7" t="s">
        <v>125</v>
      </c>
      <c r="B7" t="s">
        <v>125</v>
      </c>
      <c r="C7" t="s">
        <v>10</v>
      </c>
      <c r="D7" t="s">
        <v>126</v>
      </c>
    </row>
    <row r="8" spans="1:4" x14ac:dyDescent="0.2">
      <c r="A8" t="s">
        <v>127</v>
      </c>
      <c r="B8" t="s">
        <v>127</v>
      </c>
      <c r="C8" t="s">
        <v>10</v>
      </c>
      <c r="D8" t="s">
        <v>128</v>
      </c>
    </row>
    <row r="9" spans="1:4" x14ac:dyDescent="0.2">
      <c r="A9" t="s">
        <v>129</v>
      </c>
      <c r="B9" t="s">
        <v>129</v>
      </c>
      <c r="C9" t="s">
        <v>10</v>
      </c>
      <c r="D9" t="s">
        <v>130</v>
      </c>
    </row>
    <row r="10" spans="1:4" x14ac:dyDescent="0.2">
      <c r="A10" t="s">
        <v>9</v>
      </c>
      <c r="B10" t="s">
        <v>9</v>
      </c>
      <c r="C10" t="s">
        <v>11</v>
      </c>
      <c r="D10" t="s">
        <v>124</v>
      </c>
    </row>
    <row r="11" spans="1:4" x14ac:dyDescent="0.2">
      <c r="A11" t="s">
        <v>125</v>
      </c>
      <c r="B11" t="s">
        <v>125</v>
      </c>
      <c r="C11" t="s">
        <v>11</v>
      </c>
      <c r="D11" t="s">
        <v>126</v>
      </c>
    </row>
    <row r="12" spans="1:4" x14ac:dyDescent="0.2">
      <c r="A12" t="s">
        <v>127</v>
      </c>
      <c r="B12" t="s">
        <v>127</v>
      </c>
      <c r="C12" t="s">
        <v>11</v>
      </c>
      <c r="D12" t="s">
        <v>128</v>
      </c>
    </row>
    <row r="13" spans="1:4" x14ac:dyDescent="0.2">
      <c r="A13" t="s">
        <v>84</v>
      </c>
      <c r="B13" t="s">
        <v>84</v>
      </c>
      <c r="C13" t="s">
        <v>11</v>
      </c>
      <c r="D13" t="s">
        <v>128</v>
      </c>
    </row>
    <row r="14" spans="1:4" x14ac:dyDescent="0.2">
      <c r="A14" t="s">
        <v>129</v>
      </c>
      <c r="B14" t="s">
        <v>129</v>
      </c>
      <c r="C14" t="s">
        <v>11</v>
      </c>
      <c r="D14" t="s">
        <v>130</v>
      </c>
    </row>
    <row r="15" spans="1:4" x14ac:dyDescent="0.2">
      <c r="A15" t="s">
        <v>9</v>
      </c>
      <c r="B15" t="s">
        <v>9</v>
      </c>
      <c r="C15" t="s">
        <v>14</v>
      </c>
      <c r="D15" t="s">
        <v>124</v>
      </c>
    </row>
    <row r="16" spans="1:4" x14ac:dyDescent="0.2">
      <c r="A16" t="s">
        <v>125</v>
      </c>
      <c r="B16" t="s">
        <v>125</v>
      </c>
      <c r="C16" t="s">
        <v>14</v>
      </c>
      <c r="D16" t="s">
        <v>126</v>
      </c>
    </row>
    <row r="17" spans="1:4" x14ac:dyDescent="0.2">
      <c r="A17" t="s">
        <v>127</v>
      </c>
      <c r="B17" t="s">
        <v>127</v>
      </c>
      <c r="C17" t="s">
        <v>14</v>
      </c>
      <c r="D17" t="s">
        <v>128</v>
      </c>
    </row>
    <row r="18" spans="1:4" x14ac:dyDescent="0.2">
      <c r="A18" t="s">
        <v>129</v>
      </c>
      <c r="B18" t="s">
        <v>129</v>
      </c>
      <c r="C18" t="s">
        <v>14</v>
      </c>
      <c r="D18" t="s">
        <v>128</v>
      </c>
    </row>
    <row r="19" spans="1:4" x14ac:dyDescent="0.2">
      <c r="A19" t="s">
        <v>84</v>
      </c>
      <c r="B19" t="s">
        <v>84</v>
      </c>
      <c r="C19" t="s">
        <v>14</v>
      </c>
      <c r="D19" t="s">
        <v>130</v>
      </c>
    </row>
    <row r="20" spans="1:4" x14ac:dyDescent="0.2">
      <c r="A20" t="s">
        <v>9</v>
      </c>
      <c r="B20" t="s">
        <v>9</v>
      </c>
      <c r="C20" t="s">
        <v>17</v>
      </c>
      <c r="D20" t="s">
        <v>124</v>
      </c>
    </row>
    <row r="21" spans="1:4" x14ac:dyDescent="0.2">
      <c r="A21" t="s">
        <v>125</v>
      </c>
      <c r="B21" t="s">
        <v>125</v>
      </c>
      <c r="C21" t="s">
        <v>17</v>
      </c>
      <c r="D21" t="s">
        <v>126</v>
      </c>
    </row>
    <row r="22" spans="1:4" x14ac:dyDescent="0.2">
      <c r="A22" t="s">
        <v>127</v>
      </c>
      <c r="B22" t="s">
        <v>127</v>
      </c>
      <c r="C22" t="s">
        <v>17</v>
      </c>
      <c r="D22" t="s">
        <v>128</v>
      </c>
    </row>
    <row r="23" spans="1:4" x14ac:dyDescent="0.2">
      <c r="A23" t="s">
        <v>37</v>
      </c>
      <c r="B23" t="s">
        <v>37</v>
      </c>
      <c r="C23" t="s">
        <v>17</v>
      </c>
      <c r="D23" t="s">
        <v>130</v>
      </c>
    </row>
    <row r="24" spans="1:4" x14ac:dyDescent="0.2">
      <c r="A24" t="s">
        <v>24</v>
      </c>
      <c r="B24" t="s">
        <v>24</v>
      </c>
      <c r="C24" t="s">
        <v>22</v>
      </c>
      <c r="D24" t="s">
        <v>124</v>
      </c>
    </row>
    <row r="25" spans="1:4" x14ac:dyDescent="0.2">
      <c r="A25" t="s">
        <v>125</v>
      </c>
      <c r="B25" t="s">
        <v>125</v>
      </c>
      <c r="C25" t="s">
        <v>22</v>
      </c>
      <c r="D25" t="s">
        <v>126</v>
      </c>
    </row>
    <row r="26" spans="1:4" x14ac:dyDescent="0.2">
      <c r="A26" t="s">
        <v>127</v>
      </c>
      <c r="B26" t="s">
        <v>127</v>
      </c>
      <c r="C26" t="s">
        <v>22</v>
      </c>
      <c r="D26" t="s">
        <v>128</v>
      </c>
    </row>
    <row r="27" spans="1:4" x14ac:dyDescent="0.2">
      <c r="A27" t="s">
        <v>131</v>
      </c>
      <c r="B27" t="s">
        <v>131</v>
      </c>
      <c r="C27" t="s">
        <v>22</v>
      </c>
      <c r="D27" t="s">
        <v>128</v>
      </c>
    </row>
    <row r="28" spans="1:4" x14ac:dyDescent="0.2">
      <c r="A28" t="s">
        <v>9</v>
      </c>
      <c r="B28" t="s">
        <v>9</v>
      </c>
      <c r="C28" t="s">
        <v>22</v>
      </c>
      <c r="D28" t="s">
        <v>130</v>
      </c>
    </row>
    <row r="29" spans="1:4" x14ac:dyDescent="0.2">
      <c r="A29" t="s">
        <v>9</v>
      </c>
      <c r="B29" t="s">
        <v>9</v>
      </c>
      <c r="C29" t="s">
        <v>25</v>
      </c>
      <c r="D29" t="s">
        <v>124</v>
      </c>
    </row>
    <row r="30" spans="1:4" x14ac:dyDescent="0.2">
      <c r="A30" t="s">
        <v>125</v>
      </c>
      <c r="B30" t="s">
        <v>125</v>
      </c>
      <c r="C30" t="s">
        <v>25</v>
      </c>
      <c r="D30" t="s">
        <v>126</v>
      </c>
    </row>
    <row r="31" spans="1:4" x14ac:dyDescent="0.2">
      <c r="A31" t="s">
        <v>24</v>
      </c>
      <c r="B31" t="s">
        <v>24</v>
      </c>
      <c r="C31" t="s">
        <v>25</v>
      </c>
      <c r="D31" t="s">
        <v>128</v>
      </c>
    </row>
    <row r="32" spans="1:4" x14ac:dyDescent="0.2">
      <c r="A32" t="s">
        <v>127</v>
      </c>
      <c r="B32" t="s">
        <v>127</v>
      </c>
      <c r="C32" t="s">
        <v>25</v>
      </c>
      <c r="D32" t="s">
        <v>128</v>
      </c>
    </row>
    <row r="33" spans="1:4" x14ac:dyDescent="0.2">
      <c r="A33" t="s">
        <v>84</v>
      </c>
      <c r="B33" t="s">
        <v>84</v>
      </c>
      <c r="C33" t="s">
        <v>25</v>
      </c>
      <c r="D33" t="s">
        <v>130</v>
      </c>
    </row>
    <row r="34" spans="1:4" x14ac:dyDescent="0.2">
      <c r="A34" t="s">
        <v>9</v>
      </c>
      <c r="B34" t="s">
        <v>9</v>
      </c>
      <c r="C34" t="s">
        <v>28</v>
      </c>
      <c r="D34" t="s">
        <v>124</v>
      </c>
    </row>
    <row r="35" spans="1:4" x14ac:dyDescent="0.2">
      <c r="A35" t="s">
        <v>125</v>
      </c>
      <c r="B35" t="s">
        <v>125</v>
      </c>
      <c r="C35" t="s">
        <v>28</v>
      </c>
      <c r="D35" t="s">
        <v>126</v>
      </c>
    </row>
    <row r="36" spans="1:4" x14ac:dyDescent="0.2">
      <c r="A36" t="s">
        <v>127</v>
      </c>
      <c r="B36" t="s">
        <v>127</v>
      </c>
      <c r="C36" t="s">
        <v>28</v>
      </c>
      <c r="D36" t="s">
        <v>128</v>
      </c>
    </row>
    <row r="37" spans="1:4" x14ac:dyDescent="0.2">
      <c r="A37" t="s">
        <v>84</v>
      </c>
      <c r="B37" t="s">
        <v>84</v>
      </c>
      <c r="C37" t="s">
        <v>28</v>
      </c>
      <c r="D37" t="s">
        <v>130</v>
      </c>
    </row>
    <row r="38" spans="1:4" x14ac:dyDescent="0.2">
      <c r="A38" t="s">
        <v>9</v>
      </c>
      <c r="B38" t="s">
        <v>9</v>
      </c>
      <c r="C38" t="s">
        <v>29</v>
      </c>
      <c r="D38" t="s">
        <v>124</v>
      </c>
    </row>
    <row r="39" spans="1:4" x14ac:dyDescent="0.2">
      <c r="A39" t="s">
        <v>125</v>
      </c>
      <c r="B39" t="s">
        <v>125</v>
      </c>
      <c r="C39" t="s">
        <v>29</v>
      </c>
      <c r="D39" t="s">
        <v>126</v>
      </c>
    </row>
    <row r="40" spans="1:4" x14ac:dyDescent="0.2">
      <c r="A40" t="s">
        <v>127</v>
      </c>
      <c r="B40" t="s">
        <v>127</v>
      </c>
      <c r="C40" t="s">
        <v>29</v>
      </c>
      <c r="D40" t="s">
        <v>128</v>
      </c>
    </row>
    <row r="41" spans="1:4" x14ac:dyDescent="0.2">
      <c r="A41" t="s">
        <v>84</v>
      </c>
      <c r="B41" t="s">
        <v>84</v>
      </c>
      <c r="C41" t="s">
        <v>29</v>
      </c>
      <c r="D41" t="s">
        <v>130</v>
      </c>
    </row>
    <row r="42" spans="1:4" x14ac:dyDescent="0.2">
      <c r="A42" t="s">
        <v>9</v>
      </c>
      <c r="B42" t="s">
        <v>9</v>
      </c>
      <c r="C42" t="s">
        <v>32</v>
      </c>
      <c r="D42" t="s">
        <v>124</v>
      </c>
    </row>
    <row r="43" spans="1:4" x14ac:dyDescent="0.2">
      <c r="A43" t="s">
        <v>125</v>
      </c>
      <c r="B43" t="s">
        <v>125</v>
      </c>
      <c r="C43" t="s">
        <v>32</v>
      </c>
      <c r="D43" t="s">
        <v>126</v>
      </c>
    </row>
    <row r="44" spans="1:4" x14ac:dyDescent="0.2">
      <c r="A44" t="s">
        <v>127</v>
      </c>
      <c r="B44" t="s">
        <v>127</v>
      </c>
      <c r="C44" t="s">
        <v>32</v>
      </c>
      <c r="D44" t="s">
        <v>128</v>
      </c>
    </row>
    <row r="45" spans="1:4" x14ac:dyDescent="0.2">
      <c r="A45" t="s">
        <v>129</v>
      </c>
      <c r="B45" t="s">
        <v>129</v>
      </c>
      <c r="C45" t="s">
        <v>32</v>
      </c>
      <c r="D45" t="s">
        <v>130</v>
      </c>
    </row>
    <row r="46" spans="1:4" x14ac:dyDescent="0.2">
      <c r="A46" t="s">
        <v>37</v>
      </c>
      <c r="B46" t="s">
        <v>37</v>
      </c>
      <c r="C46" t="s">
        <v>35</v>
      </c>
      <c r="D46" t="s">
        <v>124</v>
      </c>
    </row>
    <row r="47" spans="1:4" x14ac:dyDescent="0.2">
      <c r="A47" t="s">
        <v>132</v>
      </c>
      <c r="B47" t="s">
        <v>132</v>
      </c>
      <c r="C47" t="s">
        <v>35</v>
      </c>
      <c r="D47" t="s">
        <v>126</v>
      </c>
    </row>
    <row r="48" spans="1:4" x14ac:dyDescent="0.2">
      <c r="A48" t="s">
        <v>125</v>
      </c>
      <c r="B48" t="s">
        <v>125</v>
      </c>
      <c r="C48" t="s">
        <v>35</v>
      </c>
      <c r="D48" t="s">
        <v>128</v>
      </c>
    </row>
    <row r="49" spans="1:4" x14ac:dyDescent="0.2">
      <c r="A49" t="s">
        <v>71</v>
      </c>
      <c r="B49" t="s">
        <v>71</v>
      </c>
      <c r="C49" t="s">
        <v>35</v>
      </c>
      <c r="D49" t="s">
        <v>128</v>
      </c>
    </row>
    <row r="50" spans="1:4" x14ac:dyDescent="0.2">
      <c r="A50" t="s">
        <v>9</v>
      </c>
      <c r="B50" t="s">
        <v>9</v>
      </c>
      <c r="C50" t="s">
        <v>35</v>
      </c>
      <c r="D50" t="s">
        <v>130</v>
      </c>
    </row>
    <row r="51" spans="1:4" x14ac:dyDescent="0.2">
      <c r="A51" t="s">
        <v>37</v>
      </c>
      <c r="B51" t="s">
        <v>37</v>
      </c>
      <c r="C51" t="s">
        <v>39</v>
      </c>
      <c r="D51" t="s">
        <v>124</v>
      </c>
    </row>
    <row r="52" spans="1:4" x14ac:dyDescent="0.2">
      <c r="A52" t="s">
        <v>132</v>
      </c>
      <c r="B52" t="s">
        <v>132</v>
      </c>
      <c r="C52" t="s">
        <v>39</v>
      </c>
      <c r="D52" t="s">
        <v>126</v>
      </c>
    </row>
    <row r="53" spans="1:4" x14ac:dyDescent="0.2">
      <c r="A53" t="s">
        <v>71</v>
      </c>
      <c r="B53" t="s">
        <v>71</v>
      </c>
      <c r="C53" t="s">
        <v>39</v>
      </c>
      <c r="D53" t="s">
        <v>128</v>
      </c>
    </row>
    <row r="54" spans="1:4" x14ac:dyDescent="0.2">
      <c r="A54" t="s">
        <v>127</v>
      </c>
      <c r="B54" t="s">
        <v>127</v>
      </c>
      <c r="C54" t="s">
        <v>39</v>
      </c>
      <c r="D54" t="s">
        <v>128</v>
      </c>
    </row>
    <row r="55" spans="1:4" x14ac:dyDescent="0.2">
      <c r="A55" t="s">
        <v>125</v>
      </c>
      <c r="B55" t="s">
        <v>125</v>
      </c>
      <c r="C55" t="s">
        <v>39</v>
      </c>
      <c r="D55" t="s">
        <v>130</v>
      </c>
    </row>
    <row r="56" spans="1:4" x14ac:dyDescent="0.2">
      <c r="A56" t="s">
        <v>9</v>
      </c>
      <c r="B56" t="s">
        <v>9</v>
      </c>
      <c r="C56" t="s">
        <v>41</v>
      </c>
      <c r="D56" t="s">
        <v>124</v>
      </c>
    </row>
    <row r="57" spans="1:4" x14ac:dyDescent="0.2">
      <c r="A57" t="s">
        <v>37</v>
      </c>
      <c r="B57" t="s">
        <v>37</v>
      </c>
      <c r="C57" t="s">
        <v>41</v>
      </c>
      <c r="D57" t="s">
        <v>126</v>
      </c>
    </row>
    <row r="58" spans="1:4" x14ac:dyDescent="0.2">
      <c r="A58" t="s">
        <v>127</v>
      </c>
      <c r="B58" t="s">
        <v>127</v>
      </c>
      <c r="C58" t="s">
        <v>41</v>
      </c>
      <c r="D58" t="s">
        <v>128</v>
      </c>
    </row>
    <row r="59" spans="1:4" x14ac:dyDescent="0.2">
      <c r="A59" t="s">
        <v>125</v>
      </c>
      <c r="B59" t="s">
        <v>125</v>
      </c>
      <c r="C59" t="s">
        <v>41</v>
      </c>
      <c r="D59" t="s">
        <v>130</v>
      </c>
    </row>
    <row r="60" spans="1:4" x14ac:dyDescent="0.2">
      <c r="A60" t="s">
        <v>37</v>
      </c>
      <c r="B60" t="s">
        <v>37</v>
      </c>
      <c r="C60" t="s">
        <v>42</v>
      </c>
      <c r="D60" t="s">
        <v>124</v>
      </c>
    </row>
    <row r="61" spans="1:4" x14ac:dyDescent="0.2">
      <c r="A61" t="s">
        <v>132</v>
      </c>
      <c r="B61" t="s">
        <v>132</v>
      </c>
      <c r="C61" t="s">
        <v>42</v>
      </c>
      <c r="D61" t="s">
        <v>126</v>
      </c>
    </row>
    <row r="62" spans="1:4" x14ac:dyDescent="0.2">
      <c r="A62" t="s">
        <v>71</v>
      </c>
      <c r="B62" t="s">
        <v>71</v>
      </c>
      <c r="C62" t="s">
        <v>42</v>
      </c>
      <c r="D62" t="s">
        <v>128</v>
      </c>
    </row>
    <row r="63" spans="1:4" x14ac:dyDescent="0.2">
      <c r="A63" t="s">
        <v>125</v>
      </c>
      <c r="B63" t="s">
        <v>125</v>
      </c>
      <c r="C63" t="s">
        <v>42</v>
      </c>
      <c r="D63" t="s">
        <v>130</v>
      </c>
    </row>
    <row r="64" spans="1:4" x14ac:dyDescent="0.2">
      <c r="A64" t="s">
        <v>37</v>
      </c>
      <c r="B64" t="s">
        <v>37</v>
      </c>
      <c r="C64" t="s">
        <v>46</v>
      </c>
      <c r="D64" t="s">
        <v>124</v>
      </c>
    </row>
    <row r="65" spans="1:4" x14ac:dyDescent="0.2">
      <c r="A65" t="s">
        <v>132</v>
      </c>
      <c r="B65" t="s">
        <v>132</v>
      </c>
      <c r="C65" t="s">
        <v>46</v>
      </c>
      <c r="D65" t="s">
        <v>126</v>
      </c>
    </row>
    <row r="66" spans="1:4" x14ac:dyDescent="0.2">
      <c r="A66" t="s">
        <v>71</v>
      </c>
      <c r="B66" t="s">
        <v>71</v>
      </c>
      <c r="C66" t="s">
        <v>46</v>
      </c>
      <c r="D66" t="s">
        <v>128</v>
      </c>
    </row>
    <row r="67" spans="1:4" x14ac:dyDescent="0.2">
      <c r="A67" t="s">
        <v>84</v>
      </c>
      <c r="B67" t="s">
        <v>84</v>
      </c>
      <c r="C67" t="s">
        <v>46</v>
      </c>
      <c r="D67" t="s">
        <v>128</v>
      </c>
    </row>
    <row r="68" spans="1:4" x14ac:dyDescent="0.2">
      <c r="A68" t="s">
        <v>125</v>
      </c>
      <c r="B68" t="s">
        <v>125</v>
      </c>
      <c r="C68" t="s">
        <v>46</v>
      </c>
      <c r="D68" t="s">
        <v>130</v>
      </c>
    </row>
    <row r="69" spans="1:4" x14ac:dyDescent="0.2">
      <c r="A69" t="s">
        <v>49</v>
      </c>
      <c r="B69" t="s">
        <v>49</v>
      </c>
      <c r="C69" t="s">
        <v>48</v>
      </c>
      <c r="D69" t="s">
        <v>124</v>
      </c>
    </row>
    <row r="70" spans="1:4" x14ac:dyDescent="0.2">
      <c r="A70" t="s">
        <v>37</v>
      </c>
      <c r="B70" t="s">
        <v>37</v>
      </c>
      <c r="C70" t="s">
        <v>48</v>
      </c>
      <c r="D70" t="s">
        <v>126</v>
      </c>
    </row>
    <row r="71" spans="1:4" x14ac:dyDescent="0.2">
      <c r="A71" t="s">
        <v>71</v>
      </c>
      <c r="B71" t="s">
        <v>71</v>
      </c>
      <c r="C71" t="s">
        <v>48</v>
      </c>
      <c r="D71" t="s">
        <v>128</v>
      </c>
    </row>
    <row r="72" spans="1:4" x14ac:dyDescent="0.2">
      <c r="A72" t="s">
        <v>125</v>
      </c>
      <c r="B72" t="s">
        <v>125</v>
      </c>
      <c r="C72" t="s">
        <v>48</v>
      </c>
      <c r="D72" t="s">
        <v>130</v>
      </c>
    </row>
    <row r="73" spans="1:4" x14ac:dyDescent="0.2">
      <c r="A73" t="s">
        <v>37</v>
      </c>
      <c r="B73" t="s">
        <v>37</v>
      </c>
      <c r="C73" t="s">
        <v>51</v>
      </c>
      <c r="D73" t="s">
        <v>124</v>
      </c>
    </row>
    <row r="74" spans="1:4" x14ac:dyDescent="0.2">
      <c r="A74" t="s">
        <v>132</v>
      </c>
      <c r="B74" t="s">
        <v>132</v>
      </c>
      <c r="C74" t="s">
        <v>51</v>
      </c>
      <c r="D74" t="s">
        <v>126</v>
      </c>
    </row>
    <row r="75" spans="1:4" x14ac:dyDescent="0.2">
      <c r="A75" t="s">
        <v>71</v>
      </c>
      <c r="B75" t="s">
        <v>71</v>
      </c>
      <c r="C75" t="s">
        <v>51</v>
      </c>
      <c r="D75" t="s">
        <v>128</v>
      </c>
    </row>
    <row r="76" spans="1:4" x14ac:dyDescent="0.2">
      <c r="A76" t="s">
        <v>96</v>
      </c>
      <c r="B76" t="s">
        <v>96</v>
      </c>
      <c r="C76" t="s">
        <v>51</v>
      </c>
      <c r="D76" t="s">
        <v>128</v>
      </c>
    </row>
    <row r="77" spans="1:4" x14ac:dyDescent="0.2">
      <c r="A77" t="s">
        <v>125</v>
      </c>
      <c r="B77" t="s">
        <v>125</v>
      </c>
      <c r="C77" t="s">
        <v>51</v>
      </c>
      <c r="D77" t="s">
        <v>130</v>
      </c>
    </row>
    <row r="78" spans="1:4" x14ac:dyDescent="0.2">
      <c r="A78" t="s">
        <v>37</v>
      </c>
      <c r="B78" t="s">
        <v>37</v>
      </c>
      <c r="C78" t="s">
        <v>54</v>
      </c>
      <c r="D78" t="s">
        <v>124</v>
      </c>
    </row>
    <row r="79" spans="1:4" x14ac:dyDescent="0.2">
      <c r="A79" t="s">
        <v>132</v>
      </c>
      <c r="B79" t="s">
        <v>132</v>
      </c>
      <c r="C79" t="s">
        <v>54</v>
      </c>
      <c r="D79" t="s">
        <v>126</v>
      </c>
    </row>
    <row r="80" spans="1:4" x14ac:dyDescent="0.2">
      <c r="A80" t="s">
        <v>71</v>
      </c>
      <c r="B80" t="s">
        <v>71</v>
      </c>
      <c r="C80" t="s">
        <v>54</v>
      </c>
      <c r="D80" t="s">
        <v>128</v>
      </c>
    </row>
    <row r="81" spans="1:4" x14ac:dyDescent="0.2">
      <c r="A81" t="s">
        <v>125</v>
      </c>
      <c r="B81" t="s">
        <v>125</v>
      </c>
      <c r="C81" t="s">
        <v>54</v>
      </c>
      <c r="D81" t="s">
        <v>128</v>
      </c>
    </row>
    <row r="82" spans="1:4" x14ac:dyDescent="0.2">
      <c r="A82" t="s">
        <v>84</v>
      </c>
      <c r="B82" t="s">
        <v>84</v>
      </c>
      <c r="C82" t="s">
        <v>54</v>
      </c>
      <c r="D82" t="s">
        <v>130</v>
      </c>
    </row>
    <row r="83" spans="1:4" x14ac:dyDescent="0.2">
      <c r="A83" t="s">
        <v>37</v>
      </c>
      <c r="B83" t="s">
        <v>37</v>
      </c>
      <c r="C83" t="s">
        <v>55</v>
      </c>
      <c r="D83" t="s">
        <v>124</v>
      </c>
    </row>
    <row r="84" spans="1:4" x14ac:dyDescent="0.2">
      <c r="A84" t="s">
        <v>132</v>
      </c>
      <c r="B84" t="s">
        <v>132</v>
      </c>
      <c r="C84" t="s">
        <v>55</v>
      </c>
      <c r="D84" t="s">
        <v>126</v>
      </c>
    </row>
    <row r="85" spans="1:4" x14ac:dyDescent="0.2">
      <c r="A85" t="s">
        <v>96</v>
      </c>
      <c r="B85" t="s">
        <v>96</v>
      </c>
      <c r="C85" t="s">
        <v>55</v>
      </c>
      <c r="D85" t="s">
        <v>128</v>
      </c>
    </row>
    <row r="86" spans="1:4" x14ac:dyDescent="0.2">
      <c r="A86" t="s">
        <v>71</v>
      </c>
      <c r="B86" t="s">
        <v>71</v>
      </c>
      <c r="C86" t="s">
        <v>55</v>
      </c>
      <c r="D86" t="s">
        <v>128</v>
      </c>
    </row>
    <row r="87" spans="1:4" x14ac:dyDescent="0.2">
      <c r="A87" t="s">
        <v>125</v>
      </c>
      <c r="B87" t="s">
        <v>125</v>
      </c>
      <c r="C87" t="s">
        <v>55</v>
      </c>
      <c r="D87" t="s">
        <v>130</v>
      </c>
    </row>
    <row r="88" spans="1:4" x14ac:dyDescent="0.2">
      <c r="A88" t="s">
        <v>37</v>
      </c>
      <c r="B88" t="s">
        <v>37</v>
      </c>
      <c r="C88" t="s">
        <v>57</v>
      </c>
      <c r="D88" t="s">
        <v>124</v>
      </c>
    </row>
    <row r="89" spans="1:4" x14ac:dyDescent="0.2">
      <c r="A89" t="s">
        <v>132</v>
      </c>
      <c r="B89" t="s">
        <v>132</v>
      </c>
      <c r="C89" t="s">
        <v>57</v>
      </c>
      <c r="D89" t="s">
        <v>126</v>
      </c>
    </row>
    <row r="90" spans="1:4" x14ac:dyDescent="0.2">
      <c r="A90" t="s">
        <v>96</v>
      </c>
      <c r="B90" t="s">
        <v>96</v>
      </c>
      <c r="C90" t="s">
        <v>57</v>
      </c>
      <c r="D90" t="s">
        <v>128</v>
      </c>
    </row>
    <row r="91" spans="1:4" x14ac:dyDescent="0.2">
      <c r="A91" t="s">
        <v>71</v>
      </c>
      <c r="B91" t="s">
        <v>71</v>
      </c>
      <c r="C91" t="s">
        <v>57</v>
      </c>
      <c r="D91" t="s">
        <v>128</v>
      </c>
    </row>
    <row r="92" spans="1:4" x14ac:dyDescent="0.2">
      <c r="A92" t="s">
        <v>125</v>
      </c>
      <c r="B92" t="s">
        <v>125</v>
      </c>
      <c r="C92" t="s">
        <v>57</v>
      </c>
      <c r="D92" t="s">
        <v>130</v>
      </c>
    </row>
    <row r="93" spans="1:4" x14ac:dyDescent="0.2">
      <c r="A93" t="s">
        <v>37</v>
      </c>
      <c r="B93" t="s">
        <v>37</v>
      </c>
      <c r="C93" t="s">
        <v>60</v>
      </c>
      <c r="D93" t="s">
        <v>124</v>
      </c>
    </row>
    <row r="94" spans="1:4" x14ac:dyDescent="0.2">
      <c r="A94" t="s">
        <v>132</v>
      </c>
      <c r="B94" t="s">
        <v>132</v>
      </c>
      <c r="C94" t="s">
        <v>60</v>
      </c>
      <c r="D94" t="s">
        <v>126</v>
      </c>
    </row>
    <row r="95" spans="1:4" x14ac:dyDescent="0.2">
      <c r="A95" t="s">
        <v>49</v>
      </c>
      <c r="B95" t="s">
        <v>49</v>
      </c>
      <c r="C95" t="s">
        <v>60</v>
      </c>
      <c r="D95" t="s">
        <v>128</v>
      </c>
    </row>
    <row r="96" spans="1:4" x14ac:dyDescent="0.2">
      <c r="A96" t="s">
        <v>71</v>
      </c>
      <c r="B96" t="s">
        <v>71</v>
      </c>
      <c r="C96" t="s">
        <v>60</v>
      </c>
      <c r="D96" t="s">
        <v>128</v>
      </c>
    </row>
    <row r="97" spans="1:4" x14ac:dyDescent="0.2">
      <c r="A97" t="s">
        <v>125</v>
      </c>
      <c r="B97" t="s">
        <v>125</v>
      </c>
      <c r="C97" t="s">
        <v>60</v>
      </c>
      <c r="D97" t="s">
        <v>130</v>
      </c>
    </row>
    <row r="98" spans="1:4" x14ac:dyDescent="0.2">
      <c r="A98" t="s">
        <v>9</v>
      </c>
      <c r="B98" t="s">
        <v>9</v>
      </c>
      <c r="C98" t="s">
        <v>61</v>
      </c>
      <c r="D98" t="s">
        <v>124</v>
      </c>
    </row>
    <row r="99" spans="1:4" x14ac:dyDescent="0.2">
      <c r="A99" t="s">
        <v>125</v>
      </c>
      <c r="B99" t="s">
        <v>125</v>
      </c>
      <c r="C99" t="s">
        <v>61</v>
      </c>
      <c r="D99" t="s">
        <v>126</v>
      </c>
    </row>
    <row r="100" spans="1:4" x14ac:dyDescent="0.2">
      <c r="A100" t="s">
        <v>37</v>
      </c>
      <c r="B100" t="s">
        <v>37</v>
      </c>
      <c r="C100" t="s">
        <v>61</v>
      </c>
      <c r="D100" t="s">
        <v>128</v>
      </c>
    </row>
    <row r="101" spans="1:4" x14ac:dyDescent="0.2">
      <c r="A101" t="s">
        <v>127</v>
      </c>
      <c r="B101" t="s">
        <v>127</v>
      </c>
      <c r="C101" t="s">
        <v>61</v>
      </c>
      <c r="D101" t="s">
        <v>128</v>
      </c>
    </row>
    <row r="102" spans="1:4" x14ac:dyDescent="0.2">
      <c r="A102" t="s">
        <v>84</v>
      </c>
      <c r="B102" t="s">
        <v>84</v>
      </c>
      <c r="C102" t="s">
        <v>61</v>
      </c>
      <c r="D102" t="s">
        <v>130</v>
      </c>
    </row>
    <row r="103" spans="1:4" x14ac:dyDescent="0.2">
      <c r="A103" t="s">
        <v>9</v>
      </c>
      <c r="B103" t="s">
        <v>9</v>
      </c>
      <c r="C103" t="s">
        <v>63</v>
      </c>
      <c r="D103" t="s">
        <v>124</v>
      </c>
    </row>
    <row r="104" spans="1:4" x14ac:dyDescent="0.2">
      <c r="A104" t="s">
        <v>125</v>
      </c>
      <c r="B104" t="s">
        <v>125</v>
      </c>
      <c r="C104" t="s">
        <v>63</v>
      </c>
      <c r="D104" t="s">
        <v>126</v>
      </c>
    </row>
    <row r="105" spans="1:4" x14ac:dyDescent="0.2">
      <c r="A105" t="s">
        <v>37</v>
      </c>
      <c r="B105" t="s">
        <v>37</v>
      </c>
      <c r="C105" t="s">
        <v>63</v>
      </c>
      <c r="D105" t="s">
        <v>128</v>
      </c>
    </row>
    <row r="106" spans="1:4" x14ac:dyDescent="0.2">
      <c r="A106" t="s">
        <v>84</v>
      </c>
      <c r="B106" t="s">
        <v>84</v>
      </c>
      <c r="C106" t="s">
        <v>63</v>
      </c>
      <c r="D106" t="s">
        <v>130</v>
      </c>
    </row>
    <row r="107" spans="1:4" x14ac:dyDescent="0.2">
      <c r="A107" t="s">
        <v>9</v>
      </c>
      <c r="B107" t="s">
        <v>9</v>
      </c>
      <c r="C107" t="s">
        <v>65</v>
      </c>
      <c r="D107" t="s">
        <v>124</v>
      </c>
    </row>
    <row r="108" spans="1:4" x14ac:dyDescent="0.2">
      <c r="A108" t="s">
        <v>125</v>
      </c>
      <c r="B108" t="s">
        <v>125</v>
      </c>
      <c r="C108" t="s">
        <v>65</v>
      </c>
      <c r="D108" t="s">
        <v>126</v>
      </c>
    </row>
    <row r="109" spans="1:4" x14ac:dyDescent="0.2">
      <c r="A109" t="s">
        <v>37</v>
      </c>
      <c r="B109" t="s">
        <v>37</v>
      </c>
      <c r="C109" t="s">
        <v>65</v>
      </c>
      <c r="D109" t="s">
        <v>128</v>
      </c>
    </row>
    <row r="110" spans="1:4" x14ac:dyDescent="0.2">
      <c r="A110" t="s">
        <v>129</v>
      </c>
      <c r="B110" t="s">
        <v>129</v>
      </c>
      <c r="C110" t="s">
        <v>65</v>
      </c>
      <c r="D110" t="s">
        <v>128</v>
      </c>
    </row>
    <row r="111" spans="1:4" x14ac:dyDescent="0.2">
      <c r="A111" t="s">
        <v>84</v>
      </c>
      <c r="B111" t="s">
        <v>84</v>
      </c>
      <c r="C111" t="s">
        <v>65</v>
      </c>
      <c r="D111" t="s">
        <v>130</v>
      </c>
    </row>
    <row r="112" spans="1:4" x14ac:dyDescent="0.2">
      <c r="A112" t="s">
        <v>9</v>
      </c>
      <c r="B112" t="s">
        <v>9</v>
      </c>
      <c r="C112" t="s">
        <v>67</v>
      </c>
      <c r="D112" t="s">
        <v>124</v>
      </c>
    </row>
    <row r="113" spans="1:4" x14ac:dyDescent="0.2">
      <c r="A113" t="s">
        <v>125</v>
      </c>
      <c r="B113" t="s">
        <v>125</v>
      </c>
      <c r="C113" t="s">
        <v>67</v>
      </c>
      <c r="D113" t="s">
        <v>126</v>
      </c>
    </row>
    <row r="114" spans="1:4" x14ac:dyDescent="0.2">
      <c r="A114" t="s">
        <v>37</v>
      </c>
      <c r="B114" t="s">
        <v>37</v>
      </c>
      <c r="C114" t="s">
        <v>67</v>
      </c>
      <c r="D114" t="s">
        <v>128</v>
      </c>
    </row>
    <row r="115" spans="1:4" x14ac:dyDescent="0.2">
      <c r="A115" t="s">
        <v>129</v>
      </c>
      <c r="B115" t="s">
        <v>129</v>
      </c>
      <c r="C115" t="s">
        <v>67</v>
      </c>
      <c r="D115" t="s">
        <v>128</v>
      </c>
    </row>
    <row r="116" spans="1:4" x14ac:dyDescent="0.2">
      <c r="A116" t="s">
        <v>127</v>
      </c>
      <c r="B116" t="s">
        <v>127</v>
      </c>
      <c r="C116" t="s">
        <v>67</v>
      </c>
      <c r="D116" t="s">
        <v>130</v>
      </c>
    </row>
    <row r="117" spans="1:4" x14ac:dyDescent="0.2">
      <c r="A117" t="s">
        <v>9</v>
      </c>
      <c r="B117" t="s">
        <v>9</v>
      </c>
      <c r="C117" t="s">
        <v>69</v>
      </c>
      <c r="D117" t="s">
        <v>124</v>
      </c>
    </row>
    <row r="118" spans="1:4" x14ac:dyDescent="0.2">
      <c r="A118" t="s">
        <v>125</v>
      </c>
      <c r="B118" t="s">
        <v>125</v>
      </c>
      <c r="C118" t="s">
        <v>69</v>
      </c>
      <c r="D118" t="s">
        <v>126</v>
      </c>
    </row>
    <row r="119" spans="1:4" x14ac:dyDescent="0.2">
      <c r="A119" t="s">
        <v>37</v>
      </c>
      <c r="B119" t="s">
        <v>37</v>
      </c>
      <c r="C119" t="s">
        <v>69</v>
      </c>
      <c r="D119" t="s">
        <v>128</v>
      </c>
    </row>
    <row r="120" spans="1:4" x14ac:dyDescent="0.2">
      <c r="A120" t="s">
        <v>127</v>
      </c>
      <c r="B120" t="s">
        <v>127</v>
      </c>
      <c r="C120" t="s">
        <v>69</v>
      </c>
      <c r="D120" t="s">
        <v>128</v>
      </c>
    </row>
    <row r="121" spans="1:4" x14ac:dyDescent="0.2">
      <c r="A121" t="s">
        <v>84</v>
      </c>
      <c r="B121" t="s">
        <v>84</v>
      </c>
      <c r="C121" t="s">
        <v>69</v>
      </c>
      <c r="D121" t="s">
        <v>130</v>
      </c>
    </row>
    <row r="122" spans="1:4" x14ac:dyDescent="0.2">
      <c r="A122" t="s">
        <v>71</v>
      </c>
      <c r="B122" t="s">
        <v>71</v>
      </c>
      <c r="C122" t="s">
        <v>70</v>
      </c>
      <c r="D122" t="s">
        <v>124</v>
      </c>
    </row>
    <row r="123" spans="1:4" x14ac:dyDescent="0.2">
      <c r="A123" t="s">
        <v>37</v>
      </c>
      <c r="B123" t="s">
        <v>37</v>
      </c>
      <c r="C123" t="s">
        <v>70</v>
      </c>
      <c r="D123" t="s">
        <v>126</v>
      </c>
    </row>
    <row r="124" spans="1:4" x14ac:dyDescent="0.2">
      <c r="A124" t="s">
        <v>84</v>
      </c>
      <c r="B124" t="s">
        <v>84</v>
      </c>
      <c r="C124" t="s">
        <v>70</v>
      </c>
      <c r="D124" t="s">
        <v>128</v>
      </c>
    </row>
    <row r="125" spans="1:4" x14ac:dyDescent="0.2">
      <c r="A125" t="s">
        <v>125</v>
      </c>
      <c r="B125" t="s">
        <v>125</v>
      </c>
      <c r="C125" t="s">
        <v>70</v>
      </c>
      <c r="D125" t="s">
        <v>130</v>
      </c>
    </row>
    <row r="126" spans="1:4" x14ac:dyDescent="0.2">
      <c r="A126" t="s">
        <v>9</v>
      </c>
      <c r="B126" t="s">
        <v>9</v>
      </c>
      <c r="C126" t="s">
        <v>73</v>
      </c>
      <c r="D126" t="s">
        <v>124</v>
      </c>
    </row>
    <row r="127" spans="1:4" x14ac:dyDescent="0.2">
      <c r="A127" t="s">
        <v>125</v>
      </c>
      <c r="B127" t="s">
        <v>125</v>
      </c>
      <c r="C127" t="s">
        <v>73</v>
      </c>
      <c r="D127" t="s">
        <v>126</v>
      </c>
    </row>
    <row r="128" spans="1:4" x14ac:dyDescent="0.2">
      <c r="A128" t="s">
        <v>84</v>
      </c>
      <c r="B128" t="s">
        <v>84</v>
      </c>
      <c r="C128" t="s">
        <v>73</v>
      </c>
      <c r="D128" t="s">
        <v>128</v>
      </c>
    </row>
    <row r="129" spans="1:4" x14ac:dyDescent="0.2">
      <c r="A129" t="s">
        <v>37</v>
      </c>
      <c r="B129" t="s">
        <v>37</v>
      </c>
      <c r="C129" t="s">
        <v>73</v>
      </c>
      <c r="D129" t="s">
        <v>130</v>
      </c>
    </row>
    <row r="130" spans="1:4" x14ac:dyDescent="0.2">
      <c r="A130" t="s">
        <v>80</v>
      </c>
      <c r="B130" t="s">
        <v>80</v>
      </c>
      <c r="C130" t="s">
        <v>77</v>
      </c>
      <c r="D130" t="s">
        <v>124</v>
      </c>
    </row>
    <row r="131" spans="1:4" x14ac:dyDescent="0.2">
      <c r="A131" t="s">
        <v>125</v>
      </c>
      <c r="B131" t="s">
        <v>125</v>
      </c>
      <c r="C131" t="s">
        <v>77</v>
      </c>
      <c r="D131" t="s">
        <v>126</v>
      </c>
    </row>
    <row r="132" spans="1:4" x14ac:dyDescent="0.2">
      <c r="A132" t="s">
        <v>84</v>
      </c>
      <c r="B132" t="s">
        <v>84</v>
      </c>
      <c r="C132" t="s">
        <v>77</v>
      </c>
      <c r="D132" t="s">
        <v>128</v>
      </c>
    </row>
    <row r="133" spans="1:4" x14ac:dyDescent="0.2">
      <c r="A133" t="s">
        <v>9</v>
      </c>
      <c r="B133" t="s">
        <v>9</v>
      </c>
      <c r="C133" t="s">
        <v>77</v>
      </c>
      <c r="D133" t="s">
        <v>130</v>
      </c>
    </row>
    <row r="134" spans="1:4" x14ac:dyDescent="0.2">
      <c r="A134" t="s">
        <v>84</v>
      </c>
      <c r="B134" t="s">
        <v>84</v>
      </c>
      <c r="C134" t="s">
        <v>82</v>
      </c>
      <c r="D134" t="s">
        <v>124</v>
      </c>
    </row>
    <row r="135" spans="1:4" x14ac:dyDescent="0.2">
      <c r="A135" t="s">
        <v>71</v>
      </c>
      <c r="B135" t="s">
        <v>71</v>
      </c>
      <c r="C135" t="s">
        <v>82</v>
      </c>
      <c r="D135" t="s">
        <v>126</v>
      </c>
    </row>
    <row r="136" spans="1:4" x14ac:dyDescent="0.2">
      <c r="A136" t="s">
        <v>37</v>
      </c>
      <c r="B136" t="s">
        <v>37</v>
      </c>
      <c r="C136" t="s">
        <v>82</v>
      </c>
      <c r="D136" t="s">
        <v>128</v>
      </c>
    </row>
    <row r="137" spans="1:4" x14ac:dyDescent="0.2">
      <c r="A137" t="s">
        <v>125</v>
      </c>
      <c r="B137" t="s">
        <v>125</v>
      </c>
      <c r="C137" t="s">
        <v>82</v>
      </c>
      <c r="D137" t="s">
        <v>130</v>
      </c>
    </row>
    <row r="138" spans="1:4" x14ac:dyDescent="0.2">
      <c r="A138" t="s">
        <v>84</v>
      </c>
      <c r="B138" t="s">
        <v>84</v>
      </c>
      <c r="C138" t="s">
        <v>86</v>
      </c>
      <c r="D138" t="s">
        <v>124</v>
      </c>
    </row>
    <row r="139" spans="1:4" x14ac:dyDescent="0.2">
      <c r="A139" t="s">
        <v>71</v>
      </c>
      <c r="B139" t="s">
        <v>71</v>
      </c>
      <c r="C139" t="s">
        <v>86</v>
      </c>
      <c r="D139" t="s">
        <v>126</v>
      </c>
    </row>
    <row r="140" spans="1:4" x14ac:dyDescent="0.2">
      <c r="A140" t="s">
        <v>37</v>
      </c>
      <c r="B140" t="s">
        <v>37</v>
      </c>
      <c r="C140" t="s">
        <v>86</v>
      </c>
      <c r="D140" t="s">
        <v>128</v>
      </c>
    </row>
    <row r="141" spans="1:4" x14ac:dyDescent="0.2">
      <c r="A141" t="s">
        <v>125</v>
      </c>
      <c r="B141" t="s">
        <v>125</v>
      </c>
      <c r="C141" t="s">
        <v>86</v>
      </c>
      <c r="D141" t="s">
        <v>130</v>
      </c>
    </row>
    <row r="142" spans="1:4" x14ac:dyDescent="0.2">
      <c r="A142" t="s">
        <v>92</v>
      </c>
      <c r="B142" t="s">
        <v>92</v>
      </c>
      <c r="C142" t="s">
        <v>89</v>
      </c>
      <c r="D142" t="s">
        <v>124</v>
      </c>
    </row>
    <row r="143" spans="1:4" x14ac:dyDescent="0.2">
      <c r="A143" t="s">
        <v>71</v>
      </c>
      <c r="B143" t="s">
        <v>71</v>
      </c>
      <c r="C143" t="s">
        <v>89</v>
      </c>
      <c r="D143" t="s">
        <v>126</v>
      </c>
    </row>
    <row r="144" spans="1:4" x14ac:dyDescent="0.2">
      <c r="A144" t="s">
        <v>84</v>
      </c>
      <c r="B144" t="s">
        <v>84</v>
      </c>
      <c r="C144" t="s">
        <v>89</v>
      </c>
      <c r="D144" t="s">
        <v>128</v>
      </c>
    </row>
    <row r="145" spans="1:4" x14ac:dyDescent="0.2">
      <c r="A145" t="s">
        <v>125</v>
      </c>
      <c r="B145" t="s">
        <v>125</v>
      </c>
      <c r="C145" t="s">
        <v>89</v>
      </c>
      <c r="D145" t="s">
        <v>130</v>
      </c>
    </row>
    <row r="146" spans="1:4" x14ac:dyDescent="0.2">
      <c r="A146" t="s">
        <v>96</v>
      </c>
      <c r="B146" t="s">
        <v>96</v>
      </c>
      <c r="C146" t="s">
        <v>93</v>
      </c>
      <c r="D146" t="s">
        <v>124</v>
      </c>
    </row>
    <row r="147" spans="1:4" x14ac:dyDescent="0.2">
      <c r="A147" t="s">
        <v>71</v>
      </c>
      <c r="B147" t="s">
        <v>71</v>
      </c>
      <c r="C147" t="s">
        <v>93</v>
      </c>
      <c r="D147" t="s">
        <v>126</v>
      </c>
    </row>
    <row r="148" spans="1:4" x14ac:dyDescent="0.2">
      <c r="A148" t="s">
        <v>84</v>
      </c>
      <c r="B148" t="s">
        <v>84</v>
      </c>
      <c r="C148" t="s">
        <v>93</v>
      </c>
      <c r="D148" t="s">
        <v>128</v>
      </c>
    </row>
    <row r="149" spans="1:4" x14ac:dyDescent="0.2">
      <c r="A149" t="s">
        <v>125</v>
      </c>
      <c r="B149" t="s">
        <v>125</v>
      </c>
      <c r="C149" t="s">
        <v>93</v>
      </c>
      <c r="D149" t="s">
        <v>130</v>
      </c>
    </row>
    <row r="150" spans="1:4" x14ac:dyDescent="0.2">
      <c r="A150" t="s">
        <v>84</v>
      </c>
      <c r="B150" t="s">
        <v>84</v>
      </c>
      <c r="C150" t="s">
        <v>98</v>
      </c>
      <c r="D150" t="s">
        <v>124</v>
      </c>
    </row>
    <row r="151" spans="1:4" x14ac:dyDescent="0.2">
      <c r="A151" t="s">
        <v>125</v>
      </c>
      <c r="B151" t="s">
        <v>125</v>
      </c>
      <c r="C151" t="s">
        <v>98</v>
      </c>
      <c r="D151" t="s">
        <v>126</v>
      </c>
    </row>
    <row r="152" spans="1:4" x14ac:dyDescent="0.2">
      <c r="A152" t="s">
        <v>127</v>
      </c>
      <c r="B152" t="s">
        <v>127</v>
      </c>
      <c r="C152" t="s">
        <v>98</v>
      </c>
      <c r="D152" t="s">
        <v>128</v>
      </c>
    </row>
    <row r="153" spans="1:4" x14ac:dyDescent="0.2">
      <c r="A153" t="s">
        <v>9</v>
      </c>
      <c r="B153" t="s">
        <v>9</v>
      </c>
      <c r="C153" t="s">
        <v>98</v>
      </c>
      <c r="D153" t="s">
        <v>130</v>
      </c>
    </row>
    <row r="154" spans="1:4" x14ac:dyDescent="0.2">
      <c r="A154" t="s">
        <v>96</v>
      </c>
      <c r="B154" t="s">
        <v>96</v>
      </c>
      <c r="C154" t="s">
        <v>99</v>
      </c>
      <c r="D154" t="s">
        <v>124</v>
      </c>
    </row>
    <row r="155" spans="1:4" x14ac:dyDescent="0.2">
      <c r="A155" t="s">
        <v>125</v>
      </c>
      <c r="B155" t="s">
        <v>125</v>
      </c>
      <c r="C155" t="s">
        <v>99</v>
      </c>
      <c r="D155" t="s">
        <v>126</v>
      </c>
    </row>
    <row r="156" spans="1:4" x14ac:dyDescent="0.2">
      <c r="A156" t="s">
        <v>84</v>
      </c>
      <c r="B156" t="s">
        <v>84</v>
      </c>
      <c r="C156" t="s">
        <v>99</v>
      </c>
      <c r="D156" t="s">
        <v>128</v>
      </c>
    </row>
    <row r="157" spans="1:4" x14ac:dyDescent="0.2">
      <c r="A157" t="s">
        <v>71</v>
      </c>
      <c r="B157" t="s">
        <v>71</v>
      </c>
      <c r="C157" t="s">
        <v>99</v>
      </c>
      <c r="D157" t="s">
        <v>128</v>
      </c>
    </row>
    <row r="158" spans="1:4" x14ac:dyDescent="0.2">
      <c r="A158" t="s">
        <v>127</v>
      </c>
      <c r="B158" t="s">
        <v>127</v>
      </c>
      <c r="C158" t="s">
        <v>99</v>
      </c>
      <c r="D158" t="s">
        <v>130</v>
      </c>
    </row>
    <row r="159" spans="1:4" x14ac:dyDescent="0.2">
      <c r="A159" t="s">
        <v>96</v>
      </c>
      <c r="B159" t="s">
        <v>96</v>
      </c>
      <c r="C159" t="s">
        <v>101</v>
      </c>
      <c r="D159" t="s">
        <v>124</v>
      </c>
    </row>
    <row r="160" spans="1:4" x14ac:dyDescent="0.2">
      <c r="A160" t="s">
        <v>71</v>
      </c>
      <c r="B160" t="s">
        <v>71</v>
      </c>
      <c r="C160" t="s">
        <v>101</v>
      </c>
      <c r="D160" t="s">
        <v>126</v>
      </c>
    </row>
    <row r="161" spans="1:4" x14ac:dyDescent="0.2">
      <c r="A161" t="s">
        <v>84</v>
      </c>
      <c r="B161" t="s">
        <v>84</v>
      </c>
      <c r="C161" t="s">
        <v>101</v>
      </c>
      <c r="D161" t="s">
        <v>128</v>
      </c>
    </row>
    <row r="162" spans="1:4" x14ac:dyDescent="0.2">
      <c r="A162" t="s">
        <v>125</v>
      </c>
      <c r="B162" t="s">
        <v>125</v>
      </c>
      <c r="C162" t="s">
        <v>101</v>
      </c>
      <c r="D162" t="s">
        <v>130</v>
      </c>
    </row>
    <row r="163" spans="1:4" x14ac:dyDescent="0.2">
      <c r="A163" t="s">
        <v>9</v>
      </c>
      <c r="B163" t="s">
        <v>9</v>
      </c>
      <c r="C163" t="s">
        <v>103</v>
      </c>
      <c r="D163" t="s">
        <v>124</v>
      </c>
    </row>
    <row r="164" spans="1:4" x14ac:dyDescent="0.2">
      <c r="A164" t="s">
        <v>125</v>
      </c>
      <c r="B164" t="s">
        <v>125</v>
      </c>
      <c r="C164" t="s">
        <v>103</v>
      </c>
      <c r="D164" t="s">
        <v>126</v>
      </c>
    </row>
    <row r="165" spans="1:4" x14ac:dyDescent="0.2">
      <c r="A165" t="s">
        <v>84</v>
      </c>
      <c r="B165" t="s">
        <v>84</v>
      </c>
      <c r="C165" t="s">
        <v>103</v>
      </c>
      <c r="D165" t="s">
        <v>128</v>
      </c>
    </row>
    <row r="166" spans="1:4" x14ac:dyDescent="0.2">
      <c r="A166" t="s">
        <v>127</v>
      </c>
      <c r="B166" t="s">
        <v>127</v>
      </c>
      <c r="C166" t="s">
        <v>103</v>
      </c>
      <c r="D166" t="s">
        <v>130</v>
      </c>
    </row>
    <row r="167" spans="1:4" x14ac:dyDescent="0.2">
      <c r="A167" t="s">
        <v>80</v>
      </c>
      <c r="B167" t="s">
        <v>80</v>
      </c>
      <c r="C167" t="s">
        <v>105</v>
      </c>
      <c r="D167" t="s">
        <v>124</v>
      </c>
    </row>
    <row r="168" spans="1:4" x14ac:dyDescent="0.2">
      <c r="A168" t="s">
        <v>125</v>
      </c>
      <c r="B168" t="s">
        <v>125</v>
      </c>
      <c r="C168" t="s">
        <v>105</v>
      </c>
      <c r="D168" t="s">
        <v>126</v>
      </c>
    </row>
    <row r="169" spans="1:4" x14ac:dyDescent="0.2">
      <c r="A169" t="s">
        <v>84</v>
      </c>
      <c r="B169" t="s">
        <v>84</v>
      </c>
      <c r="C169" t="s">
        <v>105</v>
      </c>
      <c r="D169" t="s">
        <v>128</v>
      </c>
    </row>
    <row r="170" spans="1:4" x14ac:dyDescent="0.2">
      <c r="A170" t="s">
        <v>9</v>
      </c>
      <c r="B170" t="s">
        <v>9</v>
      </c>
      <c r="C170" t="s">
        <v>105</v>
      </c>
      <c r="D170" t="s">
        <v>130</v>
      </c>
    </row>
    <row r="171" spans="1:4" x14ac:dyDescent="0.2">
      <c r="A171" t="s">
        <v>9</v>
      </c>
      <c r="B171" t="s">
        <v>9</v>
      </c>
      <c r="C171" t="s">
        <v>108</v>
      </c>
      <c r="D171" t="s">
        <v>124</v>
      </c>
    </row>
    <row r="172" spans="1:4" x14ac:dyDescent="0.2">
      <c r="A172" t="s">
        <v>125</v>
      </c>
      <c r="B172" t="s">
        <v>125</v>
      </c>
      <c r="C172" t="s">
        <v>108</v>
      </c>
      <c r="D172" t="s">
        <v>126</v>
      </c>
    </row>
    <row r="173" spans="1:4" x14ac:dyDescent="0.2">
      <c r="A173" t="s">
        <v>127</v>
      </c>
      <c r="B173" t="s">
        <v>127</v>
      </c>
      <c r="C173" t="s">
        <v>108</v>
      </c>
      <c r="D173" t="s">
        <v>128</v>
      </c>
    </row>
    <row r="174" spans="1:4" x14ac:dyDescent="0.2">
      <c r="A174" t="s">
        <v>84</v>
      </c>
      <c r="B174" t="s">
        <v>84</v>
      </c>
      <c r="C174" t="s">
        <v>108</v>
      </c>
      <c r="D174" t="s">
        <v>130</v>
      </c>
    </row>
    <row r="175" spans="1:4" x14ac:dyDescent="0.2">
      <c r="A175" t="s">
        <v>80</v>
      </c>
      <c r="B175" t="s">
        <v>80</v>
      </c>
      <c r="C175" t="s">
        <v>111</v>
      </c>
      <c r="D175" t="s">
        <v>124</v>
      </c>
    </row>
    <row r="176" spans="1:4" x14ac:dyDescent="0.2">
      <c r="A176" t="s">
        <v>125</v>
      </c>
      <c r="B176" t="s">
        <v>125</v>
      </c>
      <c r="C176" t="s">
        <v>111</v>
      </c>
      <c r="D176" t="s">
        <v>126</v>
      </c>
    </row>
    <row r="177" spans="1:4" x14ac:dyDescent="0.2">
      <c r="A177" t="s">
        <v>84</v>
      </c>
      <c r="B177" t="s">
        <v>84</v>
      </c>
      <c r="C177" t="s">
        <v>111</v>
      </c>
      <c r="D177" t="s">
        <v>128</v>
      </c>
    </row>
    <row r="178" spans="1:4" x14ac:dyDescent="0.2">
      <c r="A178" t="s">
        <v>9</v>
      </c>
      <c r="B178" t="s">
        <v>9</v>
      </c>
      <c r="C178" t="s">
        <v>111</v>
      </c>
      <c r="D178" t="s">
        <v>130</v>
      </c>
    </row>
    <row r="179" spans="1:4" x14ac:dyDescent="0.2">
      <c r="A179" t="s">
        <v>9</v>
      </c>
      <c r="B179" t="s">
        <v>9</v>
      </c>
      <c r="C179" t="s">
        <v>114</v>
      </c>
      <c r="D179" t="s">
        <v>124</v>
      </c>
    </row>
    <row r="180" spans="1:4" x14ac:dyDescent="0.2">
      <c r="A180" t="s">
        <v>125</v>
      </c>
      <c r="B180" t="s">
        <v>125</v>
      </c>
      <c r="C180" t="s">
        <v>114</v>
      </c>
      <c r="D180" t="s">
        <v>126</v>
      </c>
    </row>
    <row r="181" spans="1:4" x14ac:dyDescent="0.2">
      <c r="A181" t="s">
        <v>127</v>
      </c>
      <c r="B181" t="s">
        <v>127</v>
      </c>
      <c r="C181" t="s">
        <v>114</v>
      </c>
      <c r="D181" t="s">
        <v>128</v>
      </c>
    </row>
    <row r="182" spans="1:4" x14ac:dyDescent="0.2">
      <c r="A182" t="s">
        <v>84</v>
      </c>
      <c r="B182" t="s">
        <v>84</v>
      </c>
      <c r="C182" t="s">
        <v>114</v>
      </c>
      <c r="D182" t="s">
        <v>130</v>
      </c>
    </row>
    <row r="183" spans="1:4" x14ac:dyDescent="0.2">
      <c r="A183" t="s">
        <v>37</v>
      </c>
      <c r="B183" t="s">
        <v>37</v>
      </c>
      <c r="C183" t="s">
        <v>116</v>
      </c>
      <c r="D183" t="s">
        <v>124</v>
      </c>
    </row>
    <row r="184" spans="1:4" x14ac:dyDescent="0.2">
      <c r="A184" t="s">
        <v>132</v>
      </c>
      <c r="B184" t="s">
        <v>132</v>
      </c>
      <c r="C184" t="s">
        <v>116</v>
      </c>
      <c r="D184" t="s">
        <v>126</v>
      </c>
    </row>
    <row r="185" spans="1:4" x14ac:dyDescent="0.2">
      <c r="A185" t="s">
        <v>71</v>
      </c>
      <c r="B185" t="s">
        <v>71</v>
      </c>
      <c r="C185" t="s">
        <v>116</v>
      </c>
      <c r="D185" t="s">
        <v>128</v>
      </c>
    </row>
    <row r="186" spans="1:4" x14ac:dyDescent="0.2">
      <c r="A186" t="s">
        <v>125</v>
      </c>
      <c r="B186" t="s">
        <v>125</v>
      </c>
      <c r="C186" t="s">
        <v>116</v>
      </c>
      <c r="D186" t="s">
        <v>130</v>
      </c>
    </row>
    <row r="187" spans="1:4" x14ac:dyDescent="0.2">
      <c r="A187" t="s">
        <v>9</v>
      </c>
      <c r="B187" t="s">
        <v>9</v>
      </c>
      <c r="C187" t="s">
        <v>118</v>
      </c>
      <c r="D187" t="s">
        <v>124</v>
      </c>
    </row>
    <row r="188" spans="1:4" x14ac:dyDescent="0.2">
      <c r="A188" t="s">
        <v>125</v>
      </c>
      <c r="B188" t="s">
        <v>125</v>
      </c>
      <c r="C188" t="s">
        <v>118</v>
      </c>
      <c r="D188" t="s">
        <v>126</v>
      </c>
    </row>
    <row r="189" spans="1:4" x14ac:dyDescent="0.2">
      <c r="A189" t="s">
        <v>37</v>
      </c>
      <c r="B189" t="s">
        <v>37</v>
      </c>
      <c r="C189" t="s">
        <v>118</v>
      </c>
      <c r="D189" t="s">
        <v>128</v>
      </c>
    </row>
    <row r="190" spans="1:4" x14ac:dyDescent="0.2">
      <c r="A190" t="s">
        <v>129</v>
      </c>
      <c r="B190" t="s">
        <v>129</v>
      </c>
      <c r="C190" t="s">
        <v>118</v>
      </c>
      <c r="D190" t="s">
        <v>128</v>
      </c>
    </row>
    <row r="191" spans="1:4" x14ac:dyDescent="0.2">
      <c r="A191" t="s">
        <v>84</v>
      </c>
      <c r="B191" t="s">
        <v>84</v>
      </c>
      <c r="C191" t="s">
        <v>118</v>
      </c>
      <c r="D191" t="s">
        <v>130</v>
      </c>
    </row>
    <row r="192" spans="1:4" x14ac:dyDescent="0.2">
      <c r="A192" t="s">
        <v>9</v>
      </c>
      <c r="B192" t="s">
        <v>9</v>
      </c>
      <c r="C192" t="s">
        <v>121</v>
      </c>
      <c r="D192" t="s">
        <v>124</v>
      </c>
    </row>
    <row r="193" spans="1:4" x14ac:dyDescent="0.2">
      <c r="A193" t="s">
        <v>125</v>
      </c>
      <c r="B193" t="s">
        <v>125</v>
      </c>
      <c r="C193" t="s">
        <v>121</v>
      </c>
      <c r="D193" t="s">
        <v>126</v>
      </c>
    </row>
    <row r="194" spans="1:4" x14ac:dyDescent="0.2">
      <c r="A194" t="s">
        <v>37</v>
      </c>
      <c r="B194" t="s">
        <v>37</v>
      </c>
      <c r="C194" t="s">
        <v>121</v>
      </c>
      <c r="D194" t="s">
        <v>128</v>
      </c>
    </row>
    <row r="195" spans="1:4" x14ac:dyDescent="0.2">
      <c r="A195" t="s">
        <v>127</v>
      </c>
      <c r="B195" t="s">
        <v>127</v>
      </c>
      <c r="C195" t="s">
        <v>121</v>
      </c>
      <c r="D195" t="s">
        <v>128</v>
      </c>
    </row>
    <row r="196" spans="1:4" x14ac:dyDescent="0.2">
      <c r="A196" t="s">
        <v>84</v>
      </c>
      <c r="B196" t="s">
        <v>84</v>
      </c>
      <c r="C196" t="s">
        <v>121</v>
      </c>
      <c r="D196" t="s">
        <v>130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ED2F-6770-4321-8308-2FC43A2A94ED}">
  <dimension ref="A1:G208"/>
  <sheetViews>
    <sheetView tabSelected="1" workbookViewId="0">
      <selection activeCell="A41" sqref="A41"/>
    </sheetView>
  </sheetViews>
  <sheetFormatPr defaultRowHeight="15" x14ac:dyDescent="0.2"/>
  <cols>
    <col min="1" max="1" width="33.6640625" bestFit="1" customWidth="1"/>
    <col min="2" max="2" width="57.21875" bestFit="1" customWidth="1"/>
    <col min="3" max="3" width="15.44140625" bestFit="1" customWidth="1"/>
    <col min="4" max="4" width="14.21875" bestFit="1" customWidth="1"/>
    <col min="5" max="5" width="7.109375" bestFit="1" customWidth="1"/>
    <col min="6" max="6" width="13.44140625" bestFit="1" customWidth="1"/>
    <col min="7" max="7" width="32.33203125" bestFit="1" customWidth="1"/>
    <col min="8" max="9" width="17.77734375" bestFit="1" customWidth="1"/>
    <col min="10" max="10" width="13.44140625" bestFit="1" customWidth="1"/>
    <col min="11" max="11" width="32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188</v>
      </c>
      <c r="F1" t="s">
        <v>184</v>
      </c>
      <c r="G1" t="s">
        <v>137</v>
      </c>
    </row>
    <row r="2" spans="1:7" hidden="1" x14ac:dyDescent="0.2">
      <c r="A2" t="s">
        <v>4</v>
      </c>
      <c r="B2" t="s">
        <v>5</v>
      </c>
      <c r="C2" t="s">
        <v>6</v>
      </c>
      <c r="D2" t="s">
        <v>186</v>
      </c>
      <c r="E2">
        <f>COUNTIFS(Artifacts[SOP],B1,Artifacts[Input or output],"input")</f>
        <v>0</v>
      </c>
      <c r="F2" t="str">
        <f>VLOOKUP(Artifacts[[#This Row],[SOP]],SOP[#All],3,FALSE)</f>
        <v>Kravställning</v>
      </c>
      <c r="G2" t="str">
        <f>VLOOKUP(Artifacts[[#This Row],[SOP]],SOP[#All],2,FALSE)</f>
        <v>Vision &amp; målbild</v>
      </c>
    </row>
    <row r="3" spans="1:7" x14ac:dyDescent="0.2">
      <c r="A3" t="s">
        <v>7</v>
      </c>
      <c r="B3" t="s">
        <v>5</v>
      </c>
      <c r="C3" t="s">
        <v>8</v>
      </c>
      <c r="D3" t="s">
        <v>9</v>
      </c>
      <c r="E3">
        <f>COUNTIFS(Artifacts[SOP],B2,Artifacts[Input or output],"input")</f>
        <v>1</v>
      </c>
      <c r="F3" t="str">
        <f>VLOOKUP(Artifacts[[#This Row],[SOP]],SOP[#All],3,FALSE)</f>
        <v>Kravställning</v>
      </c>
      <c r="G3" t="str">
        <f>VLOOKUP(Artifacts[[#This Row],[SOP]],SOP[#All],2,FALSE)</f>
        <v>Vision &amp; målbild</v>
      </c>
    </row>
    <row r="4" spans="1:7" hidden="1" x14ac:dyDescent="0.2">
      <c r="A4" t="s">
        <v>4</v>
      </c>
      <c r="B4" t="s">
        <v>10</v>
      </c>
      <c r="C4" t="s">
        <v>6</v>
      </c>
      <c r="D4" t="s">
        <v>186</v>
      </c>
      <c r="E4">
        <f>COUNTIFS(Artifacts[SOP],B3,Artifacts[Input or output],"input")</f>
        <v>1</v>
      </c>
      <c r="F4" t="str">
        <f>VLOOKUP(Artifacts[[#This Row],[SOP]],SOP[#All],3,FALSE)</f>
        <v>Kravställning</v>
      </c>
      <c r="G4" t="str">
        <f>VLOOKUP(Artifacts[[#This Row],[SOP]],SOP[#All],2,FALSE)</f>
        <v>Affärsmål &amp; värdebild</v>
      </c>
    </row>
    <row r="5" spans="1:7" x14ac:dyDescent="0.2">
      <c r="A5" t="s">
        <v>7</v>
      </c>
      <c r="B5" t="s">
        <v>10</v>
      </c>
      <c r="C5" t="s">
        <v>8</v>
      </c>
      <c r="D5" t="s">
        <v>9</v>
      </c>
      <c r="E5">
        <f>COUNTIFS(Artifacts[SOP],B4,Artifacts[Input or output],"input")</f>
        <v>1</v>
      </c>
      <c r="F5" t="str">
        <f>VLOOKUP(Artifacts[[#This Row],[SOP]],SOP[#All],3,FALSE)</f>
        <v>Kravställning</v>
      </c>
      <c r="G5" t="str">
        <f>VLOOKUP(Artifacts[[#This Row],[SOP]],SOP[#All],2,FALSE)</f>
        <v>Affärsmål &amp; värdebild</v>
      </c>
    </row>
    <row r="6" spans="1:7" hidden="1" x14ac:dyDescent="0.2">
      <c r="A6" t="s">
        <v>7</v>
      </c>
      <c r="B6" t="s">
        <v>11</v>
      </c>
      <c r="C6" t="s">
        <v>6</v>
      </c>
      <c r="D6" t="s">
        <v>186</v>
      </c>
      <c r="E6">
        <f>COUNTIFS(Artifacts[SOP],B5,Artifacts[Input or output],"input")</f>
        <v>1</v>
      </c>
      <c r="F6" t="str">
        <f>VLOOKUP(Artifacts[[#This Row],[SOP]],SOP[#All],3,FALSE)</f>
        <v>Kravställning</v>
      </c>
      <c r="G6" t="str">
        <f>VLOOKUP(Artifacts[[#This Row],[SOP]],SOP[#All],2,FALSE)</f>
        <v>Scope &amp; avgränsningar</v>
      </c>
    </row>
    <row r="7" spans="1:7" hidden="1" x14ac:dyDescent="0.2">
      <c r="A7" t="s">
        <v>4</v>
      </c>
      <c r="B7" t="s">
        <v>11</v>
      </c>
      <c r="C7" t="s">
        <v>6</v>
      </c>
      <c r="D7" t="s">
        <v>186</v>
      </c>
      <c r="E7">
        <f>COUNTIFS(Artifacts[SOP],B6,Artifacts[Input or output],"input")</f>
        <v>2</v>
      </c>
      <c r="F7" t="str">
        <f>VLOOKUP(Artifacts[[#This Row],[SOP]],SOP[#All],3,FALSE)</f>
        <v>Kravställning</v>
      </c>
      <c r="G7" t="str">
        <f>VLOOKUP(Artifacts[[#This Row],[SOP]],SOP[#All],2,FALSE)</f>
        <v>Scope &amp; avgränsningar</v>
      </c>
    </row>
    <row r="8" spans="1:7" x14ac:dyDescent="0.2">
      <c r="A8" t="s">
        <v>13</v>
      </c>
      <c r="B8" t="s">
        <v>11</v>
      </c>
      <c r="C8" t="s">
        <v>8</v>
      </c>
      <c r="D8" t="s">
        <v>9</v>
      </c>
      <c r="E8">
        <f>COUNTIFS(Artifacts[SOP],B7,Artifacts[Input or output],"input")</f>
        <v>2</v>
      </c>
      <c r="F8" t="str">
        <f>VLOOKUP(Artifacts[[#This Row],[SOP]],SOP[#All],3,FALSE)</f>
        <v>Kravställning</v>
      </c>
      <c r="G8" t="str">
        <f>VLOOKUP(Artifacts[[#This Row],[SOP]],SOP[#All],2,FALSE)</f>
        <v>Scope &amp; avgränsningar</v>
      </c>
    </row>
    <row r="9" spans="1:7" x14ac:dyDescent="0.2">
      <c r="A9" t="s">
        <v>12</v>
      </c>
      <c r="B9" t="s">
        <v>11</v>
      </c>
      <c r="C9" t="s">
        <v>8</v>
      </c>
      <c r="D9" t="s">
        <v>9</v>
      </c>
      <c r="E9">
        <f>COUNTIFS(Artifacts[SOP],B8,Artifacts[Input or output],"input")</f>
        <v>2</v>
      </c>
      <c r="F9" t="str">
        <f>VLOOKUP(Artifacts[[#This Row],[SOP]],SOP[#All],3,FALSE)</f>
        <v>Kravställning</v>
      </c>
      <c r="G9" t="str">
        <f>VLOOKUP(Artifacts[[#This Row],[SOP]],SOP[#All],2,FALSE)</f>
        <v>Scope &amp; avgränsningar</v>
      </c>
    </row>
    <row r="10" spans="1:7" x14ac:dyDescent="0.2">
      <c r="A10" t="s">
        <v>12</v>
      </c>
      <c r="B10" t="s">
        <v>11</v>
      </c>
      <c r="C10" t="s">
        <v>8</v>
      </c>
      <c r="D10" t="s">
        <v>9</v>
      </c>
      <c r="E10">
        <f>COUNTIFS(Artifacts[SOP],B9,Artifacts[Input or output],"input")</f>
        <v>2</v>
      </c>
      <c r="F10" t="str">
        <f>VLOOKUP(Artifacts[[#This Row],[SOP]],SOP[#All],3,FALSE)</f>
        <v>Kravställning</v>
      </c>
      <c r="G10" t="str">
        <f>VLOOKUP(Artifacts[[#This Row],[SOP]],SOP[#All],2,FALSE)</f>
        <v>Scope &amp; avgränsningar</v>
      </c>
    </row>
    <row r="11" spans="1:7" hidden="1" x14ac:dyDescent="0.2">
      <c r="A11" t="s">
        <v>12</v>
      </c>
      <c r="B11" t="s">
        <v>14</v>
      </c>
      <c r="C11" t="s">
        <v>6</v>
      </c>
      <c r="D11" t="s">
        <v>186</v>
      </c>
      <c r="E11">
        <f>COUNTIFS(Artifacts[SOP],B10,Artifacts[Input or output],"input")</f>
        <v>2</v>
      </c>
      <c r="F11" t="str">
        <f>VLOOKUP(Artifacts[[#This Row],[SOP]],SOP[#All],3,FALSE)</f>
        <v>Kravställning</v>
      </c>
      <c r="G11" t="str">
        <f>VLOOKUP(Artifacts[[#This Row],[SOP]],SOP[#All],2,FALSE)</f>
        <v>Stakeholder-karta</v>
      </c>
    </row>
    <row r="12" spans="1:7" hidden="1" x14ac:dyDescent="0.2">
      <c r="A12" t="s">
        <v>7</v>
      </c>
      <c r="B12" t="s">
        <v>14</v>
      </c>
      <c r="C12" t="s">
        <v>6</v>
      </c>
      <c r="D12" t="s">
        <v>186</v>
      </c>
      <c r="E12">
        <f>COUNTIFS(Artifacts[SOP],B11,Artifacts[Input or output],"input")</f>
        <v>2</v>
      </c>
      <c r="F12" t="str">
        <f>VLOOKUP(Artifacts[[#This Row],[SOP]],SOP[#All],3,FALSE)</f>
        <v>Kravställning</v>
      </c>
      <c r="G12" t="str">
        <f>VLOOKUP(Artifacts[[#This Row],[SOP]],SOP[#All],2,FALSE)</f>
        <v>Stakeholder-karta</v>
      </c>
    </row>
    <row r="13" spans="1:7" x14ac:dyDescent="0.2">
      <c r="A13" t="s">
        <v>16</v>
      </c>
      <c r="B13" t="s">
        <v>14</v>
      </c>
      <c r="C13" t="s">
        <v>8</v>
      </c>
      <c r="D13" t="s">
        <v>9</v>
      </c>
      <c r="E13">
        <f>COUNTIFS(Artifacts[SOP],B12,Artifacts[Input or output],"input")</f>
        <v>2</v>
      </c>
      <c r="F13" t="str">
        <f>VLOOKUP(Artifacts[[#This Row],[SOP]],SOP[#All],3,FALSE)</f>
        <v>Kravställning</v>
      </c>
      <c r="G13" t="str">
        <f>VLOOKUP(Artifacts[[#This Row],[SOP]],SOP[#All],2,FALSE)</f>
        <v>Stakeholder-karta</v>
      </c>
    </row>
    <row r="14" spans="1:7" x14ac:dyDescent="0.2">
      <c r="A14" t="s">
        <v>15</v>
      </c>
      <c r="B14" t="s">
        <v>14</v>
      </c>
      <c r="C14" t="s">
        <v>8</v>
      </c>
      <c r="D14" t="s">
        <v>9</v>
      </c>
      <c r="E14">
        <f>COUNTIFS(Artifacts[SOP],B13,Artifacts[Input or output],"input")</f>
        <v>2</v>
      </c>
      <c r="F14" t="str">
        <f>VLOOKUP(Artifacts[[#This Row],[SOP]],SOP[#All],3,FALSE)</f>
        <v>Kravställning</v>
      </c>
      <c r="G14" t="str">
        <f>VLOOKUP(Artifacts[[#This Row],[SOP]],SOP[#All],2,FALSE)</f>
        <v>Stakeholder-karta</v>
      </c>
    </row>
    <row r="15" spans="1:7" hidden="1" x14ac:dyDescent="0.2">
      <c r="A15" t="s">
        <v>15</v>
      </c>
      <c r="B15" t="s">
        <v>17</v>
      </c>
      <c r="C15" t="s">
        <v>6</v>
      </c>
      <c r="D15" t="s">
        <v>186</v>
      </c>
      <c r="E15">
        <f>COUNTIFS(Artifacts[SOP],B14,Artifacts[Input or output],"input")</f>
        <v>2</v>
      </c>
      <c r="F15" t="str">
        <f>VLOOKUP(Artifacts[[#This Row],[SOP]],SOP[#All],3,FALSE)</f>
        <v>Kravställning</v>
      </c>
      <c r="G15" t="str">
        <f>VLOOKUP(Artifacts[[#This Row],[SOP]],SOP[#All],2,FALSE)</f>
        <v>Domänanalys</v>
      </c>
    </row>
    <row r="16" spans="1:7" hidden="1" x14ac:dyDescent="0.2">
      <c r="A16" t="s">
        <v>18</v>
      </c>
      <c r="B16" t="s">
        <v>17</v>
      </c>
      <c r="C16" t="s">
        <v>6</v>
      </c>
      <c r="D16" t="s">
        <v>186</v>
      </c>
      <c r="E16">
        <f>COUNTIFS(Artifacts[SOP],B15,Artifacts[Input or output],"input")</f>
        <v>3</v>
      </c>
      <c r="F16" t="str">
        <f>VLOOKUP(Artifacts[[#This Row],[SOP]],SOP[#All],3,FALSE)</f>
        <v>Kravställning</v>
      </c>
      <c r="G16" t="str">
        <f>VLOOKUP(Artifacts[[#This Row],[SOP]],SOP[#All],2,FALSE)</f>
        <v>Domänanalys</v>
      </c>
    </row>
    <row r="17" spans="1:7" hidden="1" x14ac:dyDescent="0.2">
      <c r="A17" t="s">
        <v>19</v>
      </c>
      <c r="B17" t="s">
        <v>17</v>
      </c>
      <c r="C17" t="s">
        <v>6</v>
      </c>
      <c r="D17" t="s">
        <v>186</v>
      </c>
      <c r="E17">
        <f>COUNTIFS(Artifacts[SOP],B16,Artifacts[Input or output],"input")</f>
        <v>3</v>
      </c>
      <c r="F17" t="str">
        <f>VLOOKUP(Artifacts[[#This Row],[SOP]],SOP[#All],3,FALSE)</f>
        <v>Kravställning</v>
      </c>
      <c r="G17" t="str">
        <f>VLOOKUP(Artifacts[[#This Row],[SOP]],SOP[#All],2,FALSE)</f>
        <v>Domänanalys</v>
      </c>
    </row>
    <row r="18" spans="1:7" x14ac:dyDescent="0.2">
      <c r="A18" t="s">
        <v>21</v>
      </c>
      <c r="B18" t="s">
        <v>17</v>
      </c>
      <c r="C18" t="s">
        <v>8</v>
      </c>
      <c r="D18" t="s">
        <v>9</v>
      </c>
      <c r="E18">
        <f>COUNTIFS(Artifacts[SOP],B17,Artifacts[Input or output],"input")</f>
        <v>3</v>
      </c>
      <c r="F18" t="str">
        <f>VLOOKUP(Artifacts[[#This Row],[SOP]],SOP[#All],3,FALSE)</f>
        <v>Kravställning</v>
      </c>
      <c r="G18" t="str">
        <f>VLOOKUP(Artifacts[[#This Row],[SOP]],SOP[#All],2,FALSE)</f>
        <v>Domänanalys</v>
      </c>
    </row>
    <row r="19" spans="1:7" x14ac:dyDescent="0.2">
      <c r="A19" t="s">
        <v>20</v>
      </c>
      <c r="B19" t="s">
        <v>17</v>
      </c>
      <c r="C19" t="s">
        <v>8</v>
      </c>
      <c r="D19" t="s">
        <v>9</v>
      </c>
      <c r="E19">
        <f>COUNTIFS(Artifacts[SOP],B18,Artifacts[Input or output],"input")</f>
        <v>3</v>
      </c>
      <c r="F19" t="str">
        <f>VLOOKUP(Artifacts[[#This Row],[SOP]],SOP[#All],3,FALSE)</f>
        <v>Kravställning</v>
      </c>
      <c r="G19" t="str">
        <f>VLOOKUP(Artifacts[[#This Row],[SOP]],SOP[#All],2,FALSE)</f>
        <v>Domänanalys</v>
      </c>
    </row>
    <row r="20" spans="1:7" hidden="1" x14ac:dyDescent="0.2">
      <c r="A20" t="s">
        <v>20</v>
      </c>
      <c r="B20" t="s">
        <v>22</v>
      </c>
      <c r="C20" t="s">
        <v>6</v>
      </c>
      <c r="D20" t="s">
        <v>186</v>
      </c>
      <c r="E20">
        <f>COUNTIFS(Artifacts[SOP],B19,Artifacts[Input or output],"input")</f>
        <v>3</v>
      </c>
      <c r="F20" t="str">
        <f>VLOOKUP(Artifacts[[#This Row],[SOP]],SOP[#All],3,FALSE)</f>
        <v>Kravställning</v>
      </c>
      <c r="G20" t="str">
        <f>VLOOKUP(Artifacts[[#This Row],[SOP]],SOP[#All],2,FALSE)</f>
        <v>User Journeys / huvudflöden</v>
      </c>
    </row>
    <row r="21" spans="1:7" hidden="1" x14ac:dyDescent="0.2">
      <c r="A21" t="s">
        <v>18</v>
      </c>
      <c r="B21" t="s">
        <v>22</v>
      </c>
      <c r="C21" t="s">
        <v>6</v>
      </c>
      <c r="D21" t="s">
        <v>186</v>
      </c>
      <c r="E21">
        <f>COUNTIFS(Artifacts[SOP],B20,Artifacts[Input or output],"input")</f>
        <v>3</v>
      </c>
      <c r="F21" t="str">
        <f>VLOOKUP(Artifacts[[#This Row],[SOP]],SOP[#All],3,FALSE)</f>
        <v>Kravställning</v>
      </c>
      <c r="G21" t="str">
        <f>VLOOKUP(Artifacts[[#This Row],[SOP]],SOP[#All],2,FALSE)</f>
        <v>User Journeys / huvudflöden</v>
      </c>
    </row>
    <row r="22" spans="1:7" hidden="1" x14ac:dyDescent="0.2">
      <c r="A22" t="s">
        <v>15</v>
      </c>
      <c r="B22" t="s">
        <v>22</v>
      </c>
      <c r="C22" t="s">
        <v>6</v>
      </c>
      <c r="D22" t="s">
        <v>186</v>
      </c>
      <c r="E22">
        <f>COUNTIFS(Artifacts[SOP],B21,Artifacts[Input or output],"input")</f>
        <v>3</v>
      </c>
      <c r="F22" t="str">
        <f>VLOOKUP(Artifacts[[#This Row],[SOP]],SOP[#All],3,FALSE)</f>
        <v>Kravställning</v>
      </c>
      <c r="G22" t="str">
        <f>VLOOKUP(Artifacts[[#This Row],[SOP]],SOP[#All],2,FALSE)</f>
        <v>User Journeys / huvudflöden</v>
      </c>
    </row>
    <row r="23" spans="1:7" x14ac:dyDescent="0.2">
      <c r="A23" t="s">
        <v>23</v>
      </c>
      <c r="B23" t="s">
        <v>22</v>
      </c>
      <c r="C23" t="s">
        <v>8</v>
      </c>
      <c r="D23" t="s">
        <v>24</v>
      </c>
      <c r="E23">
        <f>COUNTIFS(Artifacts[SOP],B22,Artifacts[Input or output],"input")</f>
        <v>3</v>
      </c>
      <c r="F23" t="str">
        <f>VLOOKUP(Artifacts[[#This Row],[SOP]],SOP[#All],3,FALSE)</f>
        <v>Kravställning</v>
      </c>
      <c r="G23" t="str">
        <f>VLOOKUP(Artifacts[[#This Row],[SOP]],SOP[#All],2,FALSE)</f>
        <v>User Journeys / huvudflöden</v>
      </c>
    </row>
    <row r="24" spans="1:7" x14ac:dyDescent="0.2">
      <c r="A24" t="s">
        <v>4</v>
      </c>
      <c r="B24" t="s">
        <v>22</v>
      </c>
      <c r="C24" t="s">
        <v>8</v>
      </c>
      <c r="D24" t="s">
        <v>24</v>
      </c>
      <c r="E24">
        <f>COUNTIFS(Artifacts[SOP],B23,Artifacts[Input or output],"input")</f>
        <v>3</v>
      </c>
      <c r="F24" t="str">
        <f>VLOOKUP(Artifacts[[#This Row],[SOP]],SOP[#All],3,FALSE)</f>
        <v>Kravställning</v>
      </c>
      <c r="G24" t="str">
        <f>VLOOKUP(Artifacts[[#This Row],[SOP]],SOP[#All],2,FALSE)</f>
        <v>User Journeys / huvudflöden</v>
      </c>
    </row>
    <row r="25" spans="1:7" hidden="1" x14ac:dyDescent="0.2">
      <c r="A25" t="s">
        <v>23</v>
      </c>
      <c r="B25" t="s">
        <v>25</v>
      </c>
      <c r="C25" t="s">
        <v>6</v>
      </c>
      <c r="D25" t="s">
        <v>186</v>
      </c>
      <c r="E25">
        <f>COUNTIFS(Artifacts[SOP],B24,Artifacts[Input or output],"input")</f>
        <v>3</v>
      </c>
      <c r="F25" t="str">
        <f>VLOOKUP(Artifacts[[#This Row],[SOP]],SOP[#All],3,FALSE)</f>
        <v>Kravställning</v>
      </c>
      <c r="G25" t="str">
        <f>VLOOKUP(Artifacts[[#This Row],[SOP]],SOP[#All],2,FALSE)</f>
        <v>Skapa Story Map</v>
      </c>
    </row>
    <row r="26" spans="1:7" hidden="1" x14ac:dyDescent="0.2">
      <c r="A26" t="s">
        <v>20</v>
      </c>
      <c r="B26" t="s">
        <v>25</v>
      </c>
      <c r="C26" t="s">
        <v>6</v>
      </c>
      <c r="D26" t="s">
        <v>186</v>
      </c>
      <c r="E26">
        <f>COUNTIFS(Artifacts[SOP],B25,Artifacts[Input or output],"input")</f>
        <v>3</v>
      </c>
      <c r="F26" t="str">
        <f>VLOOKUP(Artifacts[[#This Row],[SOP]],SOP[#All],3,FALSE)</f>
        <v>Kravställning</v>
      </c>
      <c r="G26" t="str">
        <f>VLOOKUP(Artifacts[[#This Row],[SOP]],SOP[#All],2,FALSE)</f>
        <v>Skapa Story Map</v>
      </c>
    </row>
    <row r="27" spans="1:7" hidden="1" x14ac:dyDescent="0.2">
      <c r="A27" t="s">
        <v>4</v>
      </c>
      <c r="B27" t="s">
        <v>25</v>
      </c>
      <c r="C27" t="s">
        <v>6</v>
      </c>
      <c r="D27" t="s">
        <v>186</v>
      </c>
      <c r="E27">
        <f>COUNTIFS(Artifacts[SOP],B26,Artifacts[Input or output],"input")</f>
        <v>3</v>
      </c>
      <c r="F27" t="str">
        <f>VLOOKUP(Artifacts[[#This Row],[SOP]],SOP[#All],3,FALSE)</f>
        <v>Kravställning</v>
      </c>
      <c r="G27" t="str">
        <f>VLOOKUP(Artifacts[[#This Row],[SOP]],SOP[#All],2,FALSE)</f>
        <v>Skapa Story Map</v>
      </c>
    </row>
    <row r="28" spans="1:7" x14ac:dyDescent="0.2">
      <c r="A28" t="s">
        <v>27</v>
      </c>
      <c r="B28" t="s">
        <v>25</v>
      </c>
      <c r="C28" t="s">
        <v>8</v>
      </c>
      <c r="D28" t="s">
        <v>9</v>
      </c>
      <c r="E28">
        <f>COUNTIFS(Artifacts[SOP],B27,Artifacts[Input or output],"input")</f>
        <v>3</v>
      </c>
      <c r="F28" t="str">
        <f>VLOOKUP(Artifacts[[#This Row],[SOP]],SOP[#All],3,FALSE)</f>
        <v>Kravställning</v>
      </c>
      <c r="G28" t="str">
        <f>VLOOKUP(Artifacts[[#This Row],[SOP]],SOP[#All],2,FALSE)</f>
        <v>Skapa Story Map</v>
      </c>
    </row>
    <row r="29" spans="1:7" x14ac:dyDescent="0.2">
      <c r="A29" t="s">
        <v>26</v>
      </c>
      <c r="B29" t="s">
        <v>25</v>
      </c>
      <c r="C29" t="s">
        <v>8</v>
      </c>
      <c r="D29" t="s">
        <v>9</v>
      </c>
      <c r="E29">
        <f>COUNTIFS(Artifacts[SOP],B28,Artifacts[Input or output],"input")</f>
        <v>3</v>
      </c>
      <c r="F29" t="str">
        <f>VLOOKUP(Artifacts[[#This Row],[SOP]],SOP[#All],3,FALSE)</f>
        <v>Kravställning</v>
      </c>
      <c r="G29" t="str">
        <f>VLOOKUP(Artifacts[[#This Row],[SOP]],SOP[#All],2,FALSE)</f>
        <v>Skapa Story Map</v>
      </c>
    </row>
    <row r="30" spans="1:7" hidden="1" x14ac:dyDescent="0.2">
      <c r="A30" t="s">
        <v>26</v>
      </c>
      <c r="B30" t="s">
        <v>28</v>
      </c>
      <c r="C30" t="s">
        <v>6</v>
      </c>
      <c r="D30" t="s">
        <v>186</v>
      </c>
      <c r="E30">
        <f>COUNTIFS(Artifacts[SOP],B29,Artifacts[Input or output],"input")</f>
        <v>3</v>
      </c>
      <c r="F30" t="str">
        <f>VLOOKUP(Artifacts[[#This Row],[SOP]],SOP[#All],3,FALSE)</f>
        <v>Kravställning</v>
      </c>
      <c r="G30" t="str">
        <f>VLOOKUP(Artifacts[[#This Row],[SOP]],SOP[#All],2,FALSE)</f>
        <v>Gruppera i epics &amp; capabilities</v>
      </c>
    </row>
    <row r="31" spans="1:7" hidden="1" x14ac:dyDescent="0.2">
      <c r="A31" t="s">
        <v>18</v>
      </c>
      <c r="B31" t="s">
        <v>28</v>
      </c>
      <c r="C31" t="s">
        <v>6</v>
      </c>
      <c r="D31" t="s">
        <v>186</v>
      </c>
      <c r="E31">
        <f>COUNTIFS(Artifacts[SOP],B30,Artifacts[Input or output],"input")</f>
        <v>2</v>
      </c>
      <c r="F31" t="str">
        <f>VLOOKUP(Artifacts[[#This Row],[SOP]],SOP[#All],3,FALSE)</f>
        <v>Kravställning</v>
      </c>
      <c r="G31" t="str">
        <f>VLOOKUP(Artifacts[[#This Row],[SOP]],SOP[#All],2,FALSE)</f>
        <v>Gruppera i epics &amp; capabilities</v>
      </c>
    </row>
    <row r="32" spans="1:7" x14ac:dyDescent="0.2">
      <c r="A32" t="s">
        <v>13</v>
      </c>
      <c r="B32" t="s">
        <v>28</v>
      </c>
      <c r="C32" t="s">
        <v>8</v>
      </c>
      <c r="D32" t="s">
        <v>9</v>
      </c>
      <c r="E32">
        <f>COUNTIFS(Artifacts[SOP],B31,Artifacts[Input or output],"input")</f>
        <v>2</v>
      </c>
      <c r="F32" t="str">
        <f>VLOOKUP(Artifacts[[#This Row],[SOP]],SOP[#All],3,FALSE)</f>
        <v>Kravställning</v>
      </c>
      <c r="G32" t="str">
        <f>VLOOKUP(Artifacts[[#This Row],[SOP]],SOP[#All],2,FALSE)</f>
        <v>Gruppera i epics &amp; capabilities</v>
      </c>
    </row>
    <row r="33" spans="1:7" hidden="1" x14ac:dyDescent="0.2">
      <c r="A33" t="s">
        <v>13</v>
      </c>
      <c r="B33" t="s">
        <v>29</v>
      </c>
      <c r="C33" t="s">
        <v>6</v>
      </c>
      <c r="D33" t="s">
        <v>186</v>
      </c>
      <c r="E33">
        <f>COUNTIFS(Artifacts[SOP],B32,Artifacts[Input or output],"input")</f>
        <v>2</v>
      </c>
      <c r="F33" t="str">
        <f>VLOOKUP(Artifacts[[#This Row],[SOP]],SOP[#All],3,FALSE)</f>
        <v>Kravställning</v>
      </c>
      <c r="G33" t="str">
        <f>VLOOKUP(Artifacts[[#This Row],[SOP]],SOP[#All],2,FALSE)</f>
        <v>Prioritera backlog (hög nivå)</v>
      </c>
    </row>
    <row r="34" spans="1:7" hidden="1" x14ac:dyDescent="0.2">
      <c r="A34" t="s">
        <v>7</v>
      </c>
      <c r="B34" t="s">
        <v>29</v>
      </c>
      <c r="C34" t="s">
        <v>6</v>
      </c>
      <c r="D34" t="s">
        <v>186</v>
      </c>
      <c r="E34">
        <f>COUNTIFS(Artifacts[SOP],B33,Artifacts[Input or output],"input")</f>
        <v>3</v>
      </c>
      <c r="F34" t="str">
        <f>VLOOKUP(Artifacts[[#This Row],[SOP]],SOP[#All],3,FALSE)</f>
        <v>Kravställning</v>
      </c>
      <c r="G34" t="str">
        <f>VLOOKUP(Artifacts[[#This Row],[SOP]],SOP[#All],2,FALSE)</f>
        <v>Prioritera backlog (hög nivå)</v>
      </c>
    </row>
    <row r="35" spans="1:7" hidden="1" x14ac:dyDescent="0.2">
      <c r="A35" t="s">
        <v>30</v>
      </c>
      <c r="B35" t="s">
        <v>29</v>
      </c>
      <c r="C35" t="s">
        <v>6</v>
      </c>
      <c r="D35" t="s">
        <v>186</v>
      </c>
      <c r="E35">
        <f>COUNTIFS(Artifacts[SOP],B34,Artifacts[Input or output],"input")</f>
        <v>3</v>
      </c>
      <c r="F35" t="str">
        <f>VLOOKUP(Artifacts[[#This Row],[SOP]],SOP[#All],3,FALSE)</f>
        <v>Kravställning</v>
      </c>
      <c r="G35" t="str">
        <f>VLOOKUP(Artifacts[[#This Row],[SOP]],SOP[#All],2,FALSE)</f>
        <v>Prioritera backlog (hög nivå)</v>
      </c>
    </row>
    <row r="36" spans="1:7" x14ac:dyDescent="0.2">
      <c r="A36" t="s">
        <v>31</v>
      </c>
      <c r="B36" t="s">
        <v>29</v>
      </c>
      <c r="C36" t="s">
        <v>8</v>
      </c>
      <c r="D36" t="s">
        <v>9</v>
      </c>
      <c r="E36">
        <f>COUNTIFS(Artifacts[SOP],B35,Artifacts[Input or output],"input")</f>
        <v>3</v>
      </c>
      <c r="F36" t="str">
        <f>VLOOKUP(Artifacts[[#This Row],[SOP]],SOP[#All],3,FALSE)</f>
        <v>Kravställning</v>
      </c>
      <c r="G36" t="str">
        <f>VLOOKUP(Artifacts[[#This Row],[SOP]],SOP[#All],2,FALSE)</f>
        <v>Prioritera backlog (hög nivå)</v>
      </c>
    </row>
    <row r="37" spans="1:7" hidden="1" x14ac:dyDescent="0.2">
      <c r="A37" t="s">
        <v>7</v>
      </c>
      <c r="B37" t="s">
        <v>32</v>
      </c>
      <c r="C37" t="s">
        <v>6</v>
      </c>
      <c r="D37" t="s">
        <v>186</v>
      </c>
      <c r="E37">
        <f>COUNTIFS(Artifacts[SOP],B36,Artifacts[Input or output],"input")</f>
        <v>3</v>
      </c>
      <c r="F37" t="str">
        <f>VLOOKUP(Artifacts[[#This Row],[SOP]],SOP[#All],3,FALSE)</f>
        <v>Kravställning</v>
      </c>
      <c r="G37" t="str">
        <f>VLOOKUP(Artifacts[[#This Row],[SOP]],SOP[#All],2,FALSE)</f>
        <v>Definiera framgångskriterier (KPI)</v>
      </c>
    </row>
    <row r="38" spans="1:7" hidden="1" x14ac:dyDescent="0.2">
      <c r="A38" t="s">
        <v>31</v>
      </c>
      <c r="B38" t="s">
        <v>32</v>
      </c>
      <c r="C38" t="s">
        <v>6</v>
      </c>
      <c r="D38" t="s">
        <v>186</v>
      </c>
      <c r="E38">
        <f>COUNTIFS(Artifacts[SOP],B37,Artifacts[Input or output],"input")</f>
        <v>3</v>
      </c>
      <c r="F38" t="str">
        <f>VLOOKUP(Artifacts[[#This Row],[SOP]],SOP[#All],3,FALSE)</f>
        <v>Kravställning</v>
      </c>
      <c r="G38" t="str">
        <f>VLOOKUP(Artifacts[[#This Row],[SOP]],SOP[#All],2,FALSE)</f>
        <v>Definiera framgångskriterier (KPI)</v>
      </c>
    </row>
    <row r="39" spans="1:7" hidden="1" x14ac:dyDescent="0.2">
      <c r="A39" t="s">
        <v>26</v>
      </c>
      <c r="B39" t="s">
        <v>32</v>
      </c>
      <c r="C39" t="s">
        <v>6</v>
      </c>
      <c r="D39" t="s">
        <v>186</v>
      </c>
      <c r="E39">
        <f>COUNTIFS(Artifacts[SOP],B38,Artifacts[Input or output],"input")</f>
        <v>3</v>
      </c>
      <c r="F39" t="str">
        <f>VLOOKUP(Artifacts[[#This Row],[SOP]],SOP[#All],3,FALSE)</f>
        <v>Kravställning</v>
      </c>
      <c r="G39" t="str">
        <f>VLOOKUP(Artifacts[[#This Row],[SOP]],SOP[#All],2,FALSE)</f>
        <v>Definiera framgångskriterier (KPI)</v>
      </c>
    </row>
    <row r="40" spans="1:7" x14ac:dyDescent="0.2">
      <c r="A40" t="s">
        <v>33</v>
      </c>
      <c r="B40" t="s">
        <v>32</v>
      </c>
      <c r="C40" t="s">
        <v>8</v>
      </c>
      <c r="D40" t="s">
        <v>9</v>
      </c>
      <c r="E40">
        <f>COUNTIFS(Artifacts[SOP],B39,Artifacts[Input or output],"input")</f>
        <v>3</v>
      </c>
      <c r="F40" t="str">
        <f>VLOOKUP(Artifacts[[#This Row],[SOP]],SOP[#All],3,FALSE)</f>
        <v>Kravställning</v>
      </c>
      <c r="G40" t="str">
        <f>VLOOKUP(Artifacts[[#This Row],[SOP]],SOP[#All],2,FALSE)</f>
        <v>Definiera framgångskriterier (KPI)</v>
      </c>
    </row>
    <row r="41" spans="1:7" x14ac:dyDescent="0.2">
      <c r="A41" t="s">
        <v>34</v>
      </c>
      <c r="B41" t="s">
        <v>32</v>
      </c>
      <c r="C41" t="s">
        <v>8</v>
      </c>
      <c r="D41" t="s">
        <v>9</v>
      </c>
      <c r="E41">
        <f>COUNTIFS(Artifacts[SOP],B40,Artifacts[Input or output],"input")</f>
        <v>3</v>
      </c>
      <c r="F41" t="str">
        <f>VLOOKUP(Artifacts[[#This Row],[SOP]],SOP[#All],3,FALSE)</f>
        <v>Kravställning</v>
      </c>
      <c r="G41" t="str">
        <f>VLOOKUP(Artifacts[[#This Row],[SOP]],SOP[#All],2,FALSE)</f>
        <v>Definiera framgångskriterier (KPI)</v>
      </c>
    </row>
    <row r="42" spans="1:7" hidden="1" x14ac:dyDescent="0.2">
      <c r="A42" t="s">
        <v>4</v>
      </c>
      <c r="B42" t="s">
        <v>35</v>
      </c>
      <c r="C42" t="s">
        <v>6</v>
      </c>
      <c r="D42" t="s">
        <v>186</v>
      </c>
      <c r="E42">
        <f>COUNTIFS(Artifacts[SOP],B41,Artifacts[Input or output],"input")</f>
        <v>3</v>
      </c>
      <c r="F42" t="str">
        <f>VLOOKUP(Artifacts[[#This Row],[SOP]],SOP[#All],3,FALSE)</f>
        <v>Målarkitektur</v>
      </c>
      <c r="G42" t="str">
        <f>VLOOKUP(Artifacts[[#This Row],[SOP]],SOP[#All],2,FALSE)</f>
        <v>Etablera arkitekturmål</v>
      </c>
    </row>
    <row r="43" spans="1:7" hidden="1" x14ac:dyDescent="0.2">
      <c r="A43" t="s">
        <v>7</v>
      </c>
      <c r="B43" t="s">
        <v>35</v>
      </c>
      <c r="C43" t="s">
        <v>6</v>
      </c>
      <c r="D43" t="s">
        <v>186</v>
      </c>
      <c r="E43">
        <f>COUNTIFS(Artifacts[SOP],B42,Artifacts[Input or output],"input")</f>
        <v>3</v>
      </c>
      <c r="F43" t="str">
        <f>VLOOKUP(Artifacts[[#This Row],[SOP]],SOP[#All],3,FALSE)</f>
        <v>Målarkitektur</v>
      </c>
      <c r="G43" t="str">
        <f>VLOOKUP(Artifacts[[#This Row],[SOP]],SOP[#All],2,FALSE)</f>
        <v>Etablera arkitekturmål</v>
      </c>
    </row>
    <row r="44" spans="1:7" hidden="1" x14ac:dyDescent="0.2">
      <c r="A44" t="s">
        <v>12</v>
      </c>
      <c r="B44" t="s">
        <v>35</v>
      </c>
      <c r="C44" t="s">
        <v>6</v>
      </c>
      <c r="D44" t="s">
        <v>186</v>
      </c>
      <c r="E44">
        <f>COUNTIFS(Artifacts[SOP],B43,Artifacts[Input or output],"input")</f>
        <v>3</v>
      </c>
      <c r="F44" t="str">
        <f>VLOOKUP(Artifacts[[#This Row],[SOP]],SOP[#All],3,FALSE)</f>
        <v>Målarkitektur</v>
      </c>
      <c r="G44" t="str">
        <f>VLOOKUP(Artifacts[[#This Row],[SOP]],SOP[#All],2,FALSE)</f>
        <v>Etablera arkitekturmål</v>
      </c>
    </row>
    <row r="45" spans="1:7" hidden="1" x14ac:dyDescent="0.2">
      <c r="A45" t="s">
        <v>36</v>
      </c>
      <c r="B45" t="s">
        <v>35</v>
      </c>
      <c r="C45" t="s">
        <v>8</v>
      </c>
      <c r="D45" t="s">
        <v>37</v>
      </c>
      <c r="E45">
        <f>COUNTIFS(Artifacts[SOP],B44,Artifacts[Input or output],"input")</f>
        <v>3</v>
      </c>
      <c r="F45" t="str">
        <f>VLOOKUP(Artifacts[[#This Row],[SOP]],SOP[#All],3,FALSE)</f>
        <v>Målarkitektur</v>
      </c>
      <c r="G45" t="str">
        <f>VLOOKUP(Artifacts[[#This Row],[SOP]],SOP[#All],2,FALSE)</f>
        <v>Etablera arkitekturmål</v>
      </c>
    </row>
    <row r="46" spans="1:7" hidden="1" x14ac:dyDescent="0.2">
      <c r="A46" t="s">
        <v>38</v>
      </c>
      <c r="B46" t="s">
        <v>35</v>
      </c>
      <c r="C46" t="s">
        <v>8</v>
      </c>
      <c r="D46" t="s">
        <v>37</v>
      </c>
      <c r="E46">
        <f>COUNTIFS(Artifacts[SOP],B45,Artifacts[Input or output],"input")</f>
        <v>3</v>
      </c>
      <c r="F46" t="str">
        <f>VLOOKUP(Artifacts[[#This Row],[SOP]],SOP[#All],3,FALSE)</f>
        <v>Målarkitektur</v>
      </c>
      <c r="G46" t="str">
        <f>VLOOKUP(Artifacts[[#This Row],[SOP]],SOP[#All],2,FALSE)</f>
        <v>Etablera arkitekturmål</v>
      </c>
    </row>
    <row r="47" spans="1:7" hidden="1" x14ac:dyDescent="0.2">
      <c r="A47" t="s">
        <v>36</v>
      </c>
      <c r="B47" t="s">
        <v>39</v>
      </c>
      <c r="C47" t="s">
        <v>6</v>
      </c>
      <c r="D47" t="s">
        <v>186</v>
      </c>
      <c r="E47">
        <f>COUNTIFS(Artifacts[SOP],B46,Artifacts[Input or output],"input")</f>
        <v>3</v>
      </c>
      <c r="F47" t="str">
        <f>VLOOKUP(Artifacts[[#This Row],[SOP]],SOP[#All],3,FALSE)</f>
        <v>Målarkitektur</v>
      </c>
      <c r="G47" t="str">
        <f>VLOOKUP(Artifacts[[#This Row],[SOP]],SOP[#All],2,FALSE)</f>
        <v>Definiera systemlandskap</v>
      </c>
    </row>
    <row r="48" spans="1:7" hidden="1" x14ac:dyDescent="0.2">
      <c r="A48" t="s">
        <v>4</v>
      </c>
      <c r="B48" t="s">
        <v>39</v>
      </c>
      <c r="C48" t="s">
        <v>6</v>
      </c>
      <c r="D48" t="s">
        <v>186</v>
      </c>
      <c r="E48">
        <f>COUNTIFS(Artifacts[SOP],B47,Artifacts[Input or output],"input")</f>
        <v>3</v>
      </c>
      <c r="F48" t="str">
        <f>VLOOKUP(Artifacts[[#This Row],[SOP]],SOP[#All],3,FALSE)</f>
        <v>Målarkitektur</v>
      </c>
      <c r="G48" t="str">
        <f>VLOOKUP(Artifacts[[#This Row],[SOP]],SOP[#All],2,FALSE)</f>
        <v>Definiera systemlandskap</v>
      </c>
    </row>
    <row r="49" spans="1:7" hidden="1" x14ac:dyDescent="0.2">
      <c r="A49" t="s">
        <v>16</v>
      </c>
      <c r="B49" t="s">
        <v>39</v>
      </c>
      <c r="C49" t="s">
        <v>6</v>
      </c>
      <c r="D49" t="s">
        <v>186</v>
      </c>
      <c r="E49">
        <f>COUNTIFS(Artifacts[SOP],B48,Artifacts[Input or output],"input")</f>
        <v>3</v>
      </c>
      <c r="F49" t="str">
        <f>VLOOKUP(Artifacts[[#This Row],[SOP]],SOP[#All],3,FALSE)</f>
        <v>Målarkitektur</v>
      </c>
      <c r="G49" t="str">
        <f>VLOOKUP(Artifacts[[#This Row],[SOP]],SOP[#All],2,FALSE)</f>
        <v>Definiera systemlandskap</v>
      </c>
    </row>
    <row r="50" spans="1:7" hidden="1" x14ac:dyDescent="0.2">
      <c r="A50" t="s">
        <v>40</v>
      </c>
      <c r="B50" t="s">
        <v>39</v>
      </c>
      <c r="C50" t="s">
        <v>8</v>
      </c>
      <c r="D50" t="s">
        <v>37</v>
      </c>
      <c r="E50">
        <f>COUNTIFS(Artifacts[SOP],B49,Artifacts[Input or output],"input")</f>
        <v>3</v>
      </c>
      <c r="F50" t="str">
        <f>VLOOKUP(Artifacts[[#This Row],[SOP]],SOP[#All],3,FALSE)</f>
        <v>Målarkitektur</v>
      </c>
      <c r="G50" t="str">
        <f>VLOOKUP(Artifacts[[#This Row],[SOP]],SOP[#All],2,FALSE)</f>
        <v>Definiera systemlandskap</v>
      </c>
    </row>
    <row r="51" spans="1:7" hidden="1" x14ac:dyDescent="0.2">
      <c r="A51" t="s">
        <v>40</v>
      </c>
      <c r="B51" t="s">
        <v>41</v>
      </c>
      <c r="C51" t="s">
        <v>6</v>
      </c>
      <c r="D51" t="s">
        <v>186</v>
      </c>
      <c r="E51">
        <f>COUNTIFS(Artifacts[SOP],B50,Artifacts[Input or output],"input")</f>
        <v>3</v>
      </c>
      <c r="F51" t="str">
        <f>VLOOKUP(Artifacts[[#This Row],[SOP]],SOP[#All],3,FALSE)</f>
        <v>Målarkitektur</v>
      </c>
      <c r="G51" t="str">
        <f>VLOOKUP(Artifacts[[#This Row],[SOP]],SOP[#All],2,FALSE)</f>
        <v>Definiera domänmodell</v>
      </c>
    </row>
    <row r="52" spans="1:7" hidden="1" x14ac:dyDescent="0.2">
      <c r="A52" t="s">
        <v>21</v>
      </c>
      <c r="B52" t="s">
        <v>41</v>
      </c>
      <c r="C52" t="s">
        <v>6</v>
      </c>
      <c r="D52" t="s">
        <v>186</v>
      </c>
      <c r="E52">
        <f>COUNTIFS(Artifacts[SOP],B51,Artifacts[Input or output],"input")</f>
        <v>3</v>
      </c>
      <c r="F52" t="str">
        <f>VLOOKUP(Artifacts[[#This Row],[SOP]],SOP[#All],3,FALSE)</f>
        <v>Målarkitektur</v>
      </c>
      <c r="G52" t="str">
        <f>VLOOKUP(Artifacts[[#This Row],[SOP]],SOP[#All],2,FALSE)</f>
        <v>Definiera domänmodell</v>
      </c>
    </row>
    <row r="53" spans="1:7" hidden="1" x14ac:dyDescent="0.2">
      <c r="A53" t="s">
        <v>19</v>
      </c>
      <c r="B53" t="s">
        <v>41</v>
      </c>
      <c r="C53" t="s">
        <v>6</v>
      </c>
      <c r="D53" t="s">
        <v>186</v>
      </c>
      <c r="E53">
        <f>COUNTIFS(Artifacts[SOP],B52,Artifacts[Input or output],"input")</f>
        <v>3</v>
      </c>
      <c r="F53" t="str">
        <f>VLOOKUP(Artifacts[[#This Row],[SOP]],SOP[#All],3,FALSE)</f>
        <v>Målarkitektur</v>
      </c>
      <c r="G53" t="str">
        <f>VLOOKUP(Artifacts[[#This Row],[SOP]],SOP[#All],2,FALSE)</f>
        <v>Definiera domänmodell</v>
      </c>
    </row>
    <row r="54" spans="1:7" hidden="1" x14ac:dyDescent="0.2">
      <c r="A54" t="s">
        <v>20</v>
      </c>
      <c r="B54" t="s">
        <v>41</v>
      </c>
      <c r="C54" t="s">
        <v>8</v>
      </c>
      <c r="D54" t="s">
        <v>9</v>
      </c>
      <c r="E54">
        <f>COUNTIFS(Artifacts[SOP],B53,Artifacts[Input or output],"input")</f>
        <v>3</v>
      </c>
      <c r="F54" t="str">
        <f>VLOOKUP(Artifacts[[#This Row],[SOP]],SOP[#All],3,FALSE)</f>
        <v>Målarkitektur</v>
      </c>
      <c r="G54" t="str">
        <f>VLOOKUP(Artifacts[[#This Row],[SOP]],SOP[#All],2,FALSE)</f>
        <v>Definiera domänmodell</v>
      </c>
    </row>
    <row r="55" spans="1:7" hidden="1" x14ac:dyDescent="0.2">
      <c r="A55" t="s">
        <v>21</v>
      </c>
      <c r="B55" t="s">
        <v>41</v>
      </c>
      <c r="C55" t="s">
        <v>8</v>
      </c>
      <c r="D55" t="s">
        <v>9</v>
      </c>
      <c r="E55">
        <f>COUNTIFS(Artifacts[SOP],B54,Artifacts[Input or output],"input")</f>
        <v>3</v>
      </c>
      <c r="F55" t="str">
        <f>VLOOKUP(Artifacts[[#This Row],[SOP]],SOP[#All],3,FALSE)</f>
        <v>Målarkitektur</v>
      </c>
      <c r="G55" t="str">
        <f>VLOOKUP(Artifacts[[#This Row],[SOP]],SOP[#All],2,FALSE)</f>
        <v>Definiera domänmodell</v>
      </c>
    </row>
    <row r="56" spans="1:7" hidden="1" x14ac:dyDescent="0.2">
      <c r="A56" t="s">
        <v>40</v>
      </c>
      <c r="B56" t="s">
        <v>42</v>
      </c>
      <c r="C56" t="s">
        <v>6</v>
      </c>
      <c r="D56" t="s">
        <v>186</v>
      </c>
      <c r="E56">
        <f>COUNTIFS(Artifacts[SOP],B55,Artifacts[Input or output],"input")</f>
        <v>3</v>
      </c>
      <c r="F56" t="str">
        <f>VLOOKUP(Artifacts[[#This Row],[SOP]],SOP[#All],3,FALSE)</f>
        <v>Målarkitektur</v>
      </c>
      <c r="G56" t="str">
        <f>VLOOKUP(Artifacts[[#This Row],[SOP]],SOP[#All],2,FALSE)</f>
        <v>Definiera integrationsarkitektur</v>
      </c>
    </row>
    <row r="57" spans="1:7" hidden="1" x14ac:dyDescent="0.2">
      <c r="A57" t="s">
        <v>20</v>
      </c>
      <c r="B57" t="s">
        <v>42</v>
      </c>
      <c r="C57" t="s">
        <v>6</v>
      </c>
      <c r="D57" t="s">
        <v>186</v>
      </c>
      <c r="E57">
        <f>COUNTIFS(Artifacts[SOP],B56,Artifacts[Input or output],"input")</f>
        <v>3</v>
      </c>
      <c r="F57" t="str">
        <f>VLOOKUP(Artifacts[[#This Row],[SOP]],SOP[#All],3,FALSE)</f>
        <v>Målarkitektur</v>
      </c>
      <c r="G57" t="str">
        <f>VLOOKUP(Artifacts[[#This Row],[SOP]],SOP[#All],2,FALSE)</f>
        <v>Definiera integrationsarkitektur</v>
      </c>
    </row>
    <row r="58" spans="1:7" hidden="1" x14ac:dyDescent="0.2">
      <c r="A58" t="s">
        <v>43</v>
      </c>
      <c r="B58" t="s">
        <v>42</v>
      </c>
      <c r="C58" t="s">
        <v>6</v>
      </c>
      <c r="D58" t="s">
        <v>186</v>
      </c>
      <c r="E58">
        <f>COUNTIFS(Artifacts[SOP],B57,Artifacts[Input or output],"input")</f>
        <v>3</v>
      </c>
      <c r="F58" t="str">
        <f>VLOOKUP(Artifacts[[#This Row],[SOP]],SOP[#All],3,FALSE)</f>
        <v>Målarkitektur</v>
      </c>
      <c r="G58" t="str">
        <f>VLOOKUP(Artifacts[[#This Row],[SOP]],SOP[#All],2,FALSE)</f>
        <v>Definiera integrationsarkitektur</v>
      </c>
    </row>
    <row r="59" spans="1:7" hidden="1" x14ac:dyDescent="0.2">
      <c r="A59" t="s">
        <v>44</v>
      </c>
      <c r="B59" t="s">
        <v>42</v>
      </c>
      <c r="C59" t="s">
        <v>8</v>
      </c>
      <c r="D59" t="s">
        <v>37</v>
      </c>
      <c r="E59">
        <f>COUNTIFS(Artifacts[SOP],B58,Artifacts[Input or output],"input")</f>
        <v>3</v>
      </c>
      <c r="F59" t="str">
        <f>VLOOKUP(Artifacts[[#This Row],[SOP]],SOP[#All],3,FALSE)</f>
        <v>Målarkitektur</v>
      </c>
      <c r="G59" t="str">
        <f>VLOOKUP(Artifacts[[#This Row],[SOP]],SOP[#All],2,FALSE)</f>
        <v>Definiera integrationsarkitektur</v>
      </c>
    </row>
    <row r="60" spans="1:7" hidden="1" x14ac:dyDescent="0.2">
      <c r="A60" t="s">
        <v>45</v>
      </c>
      <c r="B60" t="s">
        <v>42</v>
      </c>
      <c r="C60" t="s">
        <v>8</v>
      </c>
      <c r="D60" t="s">
        <v>37</v>
      </c>
      <c r="E60">
        <f>COUNTIFS(Artifacts[SOP],B59,Artifacts[Input or output],"input")</f>
        <v>3</v>
      </c>
      <c r="F60" t="str">
        <f>VLOOKUP(Artifacts[[#This Row],[SOP]],SOP[#All],3,FALSE)</f>
        <v>Målarkitektur</v>
      </c>
      <c r="G60" t="str">
        <f>VLOOKUP(Artifacts[[#This Row],[SOP]],SOP[#All],2,FALSE)</f>
        <v>Definiera integrationsarkitektur</v>
      </c>
    </row>
    <row r="61" spans="1:7" hidden="1" x14ac:dyDescent="0.2">
      <c r="A61" t="s">
        <v>44</v>
      </c>
      <c r="B61" t="s">
        <v>46</v>
      </c>
      <c r="C61" t="s">
        <v>6</v>
      </c>
      <c r="D61" t="s">
        <v>186</v>
      </c>
      <c r="E61">
        <f>COUNTIFS(Artifacts[SOP],B60,Artifacts[Input or output],"input")</f>
        <v>3</v>
      </c>
      <c r="F61" t="str">
        <f>VLOOKUP(Artifacts[[#This Row],[SOP]],SOP[#All],3,FALSE)</f>
        <v>Målarkitektur</v>
      </c>
      <c r="G61" t="str">
        <f>VLOOKUP(Artifacts[[#This Row],[SOP]],SOP[#All],2,FALSE)</f>
        <v>Definiera API-struktur</v>
      </c>
    </row>
    <row r="62" spans="1:7" hidden="1" x14ac:dyDescent="0.2">
      <c r="A62" t="s">
        <v>20</v>
      </c>
      <c r="B62" t="s">
        <v>46</v>
      </c>
      <c r="C62" t="s">
        <v>6</v>
      </c>
      <c r="D62" t="s">
        <v>186</v>
      </c>
      <c r="E62">
        <f>COUNTIFS(Artifacts[SOP],B61,Artifacts[Input or output],"input")</f>
        <v>2</v>
      </c>
      <c r="F62" t="str">
        <f>VLOOKUP(Artifacts[[#This Row],[SOP]],SOP[#All],3,FALSE)</f>
        <v>Målarkitektur</v>
      </c>
      <c r="G62" t="str">
        <f>VLOOKUP(Artifacts[[#This Row],[SOP]],SOP[#All],2,FALSE)</f>
        <v>Definiera API-struktur</v>
      </c>
    </row>
    <row r="63" spans="1:7" hidden="1" x14ac:dyDescent="0.2">
      <c r="A63" t="s">
        <v>47</v>
      </c>
      <c r="B63" t="s">
        <v>46</v>
      </c>
      <c r="C63" t="s">
        <v>8</v>
      </c>
      <c r="D63" t="s">
        <v>37</v>
      </c>
      <c r="E63">
        <f>COUNTIFS(Artifacts[SOP],B62,Artifacts[Input or output],"input")</f>
        <v>2</v>
      </c>
      <c r="F63" t="str">
        <f>VLOOKUP(Artifacts[[#This Row],[SOP]],SOP[#All],3,FALSE)</f>
        <v>Målarkitektur</v>
      </c>
      <c r="G63" t="str">
        <f>VLOOKUP(Artifacts[[#This Row],[SOP]],SOP[#All],2,FALSE)</f>
        <v>Definiera API-struktur</v>
      </c>
    </row>
    <row r="64" spans="1:7" hidden="1" x14ac:dyDescent="0.2">
      <c r="A64" t="s">
        <v>20</v>
      </c>
      <c r="B64" t="s">
        <v>48</v>
      </c>
      <c r="C64" t="s">
        <v>6</v>
      </c>
      <c r="D64" t="s">
        <v>186</v>
      </c>
      <c r="E64">
        <f>COUNTIFS(Artifacts[SOP],B63,Artifacts[Input or output],"input")</f>
        <v>2</v>
      </c>
      <c r="F64" t="str">
        <f>VLOOKUP(Artifacts[[#This Row],[SOP]],SOP[#All],3,FALSE)</f>
        <v>Målarkitektur</v>
      </c>
      <c r="G64" t="str">
        <f>VLOOKUP(Artifacts[[#This Row],[SOP]],SOP[#All],2,FALSE)</f>
        <v>Definiera datamodell (hög nivå)</v>
      </c>
    </row>
    <row r="65" spans="1:7" hidden="1" x14ac:dyDescent="0.2">
      <c r="A65" t="s">
        <v>47</v>
      </c>
      <c r="B65" t="s">
        <v>48</v>
      </c>
      <c r="C65" t="s">
        <v>6</v>
      </c>
      <c r="D65" t="s">
        <v>186</v>
      </c>
      <c r="E65">
        <f>COUNTIFS(Artifacts[SOP],B64,Artifacts[Input or output],"input")</f>
        <v>3</v>
      </c>
      <c r="F65" t="str">
        <f>VLOOKUP(Artifacts[[#This Row],[SOP]],SOP[#All],3,FALSE)</f>
        <v>Målarkitektur</v>
      </c>
      <c r="G65" t="str">
        <f>VLOOKUP(Artifacts[[#This Row],[SOP]],SOP[#All],2,FALSE)</f>
        <v>Definiera datamodell (hög nivå)</v>
      </c>
    </row>
    <row r="66" spans="1:7" hidden="1" x14ac:dyDescent="0.2">
      <c r="A66" t="s">
        <v>44</v>
      </c>
      <c r="B66" t="s">
        <v>48</v>
      </c>
      <c r="C66" t="s">
        <v>6</v>
      </c>
      <c r="D66" t="s">
        <v>186</v>
      </c>
      <c r="E66">
        <f>COUNTIFS(Artifacts[SOP],B65,Artifacts[Input or output],"input")</f>
        <v>3</v>
      </c>
      <c r="F66" t="str">
        <f>VLOOKUP(Artifacts[[#This Row],[SOP]],SOP[#All],3,FALSE)</f>
        <v>Målarkitektur</v>
      </c>
      <c r="G66" t="str">
        <f>VLOOKUP(Artifacts[[#This Row],[SOP]],SOP[#All],2,FALSE)</f>
        <v>Definiera datamodell (hög nivå)</v>
      </c>
    </row>
    <row r="67" spans="1:7" hidden="1" x14ac:dyDescent="0.2">
      <c r="A67" t="s">
        <v>43</v>
      </c>
      <c r="B67" t="s">
        <v>48</v>
      </c>
      <c r="C67" t="s">
        <v>8</v>
      </c>
      <c r="D67" t="s">
        <v>49</v>
      </c>
      <c r="E67">
        <f>COUNTIFS(Artifacts[SOP],B66,Artifacts[Input or output],"input")</f>
        <v>3</v>
      </c>
      <c r="F67" t="str">
        <f>VLOOKUP(Artifacts[[#This Row],[SOP]],SOP[#All],3,FALSE)</f>
        <v>Målarkitektur</v>
      </c>
      <c r="G67" t="str">
        <f>VLOOKUP(Artifacts[[#This Row],[SOP]],SOP[#All],2,FALSE)</f>
        <v>Definiera datamodell (hög nivå)</v>
      </c>
    </row>
    <row r="68" spans="1:7" hidden="1" x14ac:dyDescent="0.2">
      <c r="A68" t="s">
        <v>50</v>
      </c>
      <c r="B68" t="s">
        <v>48</v>
      </c>
      <c r="C68" t="s">
        <v>8</v>
      </c>
      <c r="D68" t="s">
        <v>49</v>
      </c>
      <c r="E68">
        <f>COUNTIFS(Artifacts[SOP],B67,Artifacts[Input or output],"input")</f>
        <v>3</v>
      </c>
      <c r="F68" t="str">
        <f>VLOOKUP(Artifacts[[#This Row],[SOP]],SOP[#All],3,FALSE)</f>
        <v>Målarkitektur</v>
      </c>
      <c r="G68" t="str">
        <f>VLOOKUP(Artifacts[[#This Row],[SOP]],SOP[#All],2,FALSE)</f>
        <v>Definiera datamodell (hög nivå)</v>
      </c>
    </row>
    <row r="69" spans="1:7" hidden="1" x14ac:dyDescent="0.2">
      <c r="A69" t="s">
        <v>43</v>
      </c>
      <c r="B69" t="s">
        <v>51</v>
      </c>
      <c r="C69" t="s">
        <v>6</v>
      </c>
      <c r="D69" t="s">
        <v>186</v>
      </c>
      <c r="E69">
        <f>COUNTIFS(Artifacts[SOP],B68,Artifacts[Input or output],"input")</f>
        <v>3</v>
      </c>
      <c r="F69" t="str">
        <f>VLOOKUP(Artifacts[[#This Row],[SOP]],SOP[#All],3,FALSE)</f>
        <v>Målarkitektur</v>
      </c>
      <c r="G69" t="str">
        <f>VLOOKUP(Artifacts[[#This Row],[SOP]],SOP[#All],2,FALSE)</f>
        <v>Definiera säkerhetsarkitektur</v>
      </c>
    </row>
    <row r="70" spans="1:7" hidden="1" x14ac:dyDescent="0.2">
      <c r="A70" t="s">
        <v>44</v>
      </c>
      <c r="B70" t="s">
        <v>51</v>
      </c>
      <c r="C70" t="s">
        <v>6</v>
      </c>
      <c r="D70" t="s">
        <v>186</v>
      </c>
      <c r="E70">
        <f>COUNTIFS(Artifacts[SOP],B69,Artifacts[Input or output],"input")</f>
        <v>3</v>
      </c>
      <c r="F70" t="str">
        <f>VLOOKUP(Artifacts[[#This Row],[SOP]],SOP[#All],3,FALSE)</f>
        <v>Målarkitektur</v>
      </c>
      <c r="G70" t="str">
        <f>VLOOKUP(Artifacts[[#This Row],[SOP]],SOP[#All],2,FALSE)</f>
        <v>Definiera säkerhetsarkitektur</v>
      </c>
    </row>
    <row r="71" spans="1:7" hidden="1" x14ac:dyDescent="0.2">
      <c r="A71" t="s">
        <v>36</v>
      </c>
      <c r="B71" t="s">
        <v>51</v>
      </c>
      <c r="C71" t="s">
        <v>6</v>
      </c>
      <c r="D71" t="s">
        <v>186</v>
      </c>
      <c r="E71">
        <f>COUNTIFS(Artifacts[SOP],B70,Artifacts[Input or output],"input")</f>
        <v>3</v>
      </c>
      <c r="F71" t="str">
        <f>VLOOKUP(Artifacts[[#This Row],[SOP]],SOP[#All],3,FALSE)</f>
        <v>Målarkitektur</v>
      </c>
      <c r="G71" t="str">
        <f>VLOOKUP(Artifacts[[#This Row],[SOP]],SOP[#All],2,FALSE)</f>
        <v>Definiera säkerhetsarkitektur</v>
      </c>
    </row>
    <row r="72" spans="1:7" hidden="1" x14ac:dyDescent="0.2">
      <c r="A72" t="s">
        <v>52</v>
      </c>
      <c r="B72" t="s">
        <v>51</v>
      </c>
      <c r="C72" t="s">
        <v>8</v>
      </c>
      <c r="D72" t="s">
        <v>37</v>
      </c>
      <c r="E72">
        <f>COUNTIFS(Artifacts[SOP],B71,Artifacts[Input or output],"input")</f>
        <v>3</v>
      </c>
      <c r="F72" t="str">
        <f>VLOOKUP(Artifacts[[#This Row],[SOP]],SOP[#All],3,FALSE)</f>
        <v>Målarkitektur</v>
      </c>
      <c r="G72" t="str">
        <f>VLOOKUP(Artifacts[[#This Row],[SOP]],SOP[#All],2,FALSE)</f>
        <v>Definiera säkerhetsarkitektur</v>
      </c>
    </row>
    <row r="73" spans="1:7" hidden="1" x14ac:dyDescent="0.2">
      <c r="A73" t="s">
        <v>53</v>
      </c>
      <c r="B73" t="s">
        <v>51</v>
      </c>
      <c r="C73" t="s">
        <v>8</v>
      </c>
      <c r="D73" t="s">
        <v>37</v>
      </c>
      <c r="E73">
        <f>COUNTIFS(Artifacts[SOP],B72,Artifacts[Input or output],"input")</f>
        <v>3</v>
      </c>
      <c r="F73" t="str">
        <f>VLOOKUP(Artifacts[[#This Row],[SOP]],SOP[#All],3,FALSE)</f>
        <v>Målarkitektur</v>
      </c>
      <c r="G73" t="str">
        <f>VLOOKUP(Artifacts[[#This Row],[SOP]],SOP[#All],2,FALSE)</f>
        <v>Definiera säkerhetsarkitektur</v>
      </c>
    </row>
    <row r="74" spans="1:7" hidden="1" x14ac:dyDescent="0.2">
      <c r="A74" t="s">
        <v>36</v>
      </c>
      <c r="B74" t="s">
        <v>54</v>
      </c>
      <c r="C74" t="s">
        <v>6</v>
      </c>
      <c r="D74" t="s">
        <v>186</v>
      </c>
      <c r="E74">
        <f>COUNTIFS(Artifacts[SOP],B73,Artifacts[Input or output],"input")</f>
        <v>3</v>
      </c>
      <c r="F74" t="str">
        <f>VLOOKUP(Artifacts[[#This Row],[SOP]],SOP[#All],3,FALSE)</f>
        <v>Målarkitektur</v>
      </c>
      <c r="G74" t="str">
        <f>VLOOKUP(Artifacts[[#This Row],[SOP]],SOP[#All],2,FALSE)</f>
        <v>Fastställ arkitekturprinciper</v>
      </c>
    </row>
    <row r="75" spans="1:7" hidden="1" x14ac:dyDescent="0.2">
      <c r="A75" t="s">
        <v>52</v>
      </c>
      <c r="B75" t="s">
        <v>54</v>
      </c>
      <c r="C75" t="s">
        <v>6</v>
      </c>
      <c r="D75" t="s">
        <v>186</v>
      </c>
      <c r="E75">
        <f>COUNTIFS(Artifacts[SOP],B74,Artifacts[Input or output],"input")</f>
        <v>5</v>
      </c>
      <c r="F75" t="str">
        <f>VLOOKUP(Artifacts[[#This Row],[SOP]],SOP[#All],3,FALSE)</f>
        <v>Målarkitektur</v>
      </c>
      <c r="G75" t="str">
        <f>VLOOKUP(Artifacts[[#This Row],[SOP]],SOP[#All],2,FALSE)</f>
        <v>Fastställ arkitekturprinciper</v>
      </c>
    </row>
    <row r="76" spans="1:7" hidden="1" x14ac:dyDescent="0.2">
      <c r="A76" t="s">
        <v>44</v>
      </c>
      <c r="B76" t="s">
        <v>54</v>
      </c>
      <c r="C76" t="s">
        <v>6</v>
      </c>
      <c r="D76" t="s">
        <v>186</v>
      </c>
      <c r="E76">
        <f>COUNTIFS(Artifacts[SOP],B75,Artifacts[Input or output],"input")</f>
        <v>5</v>
      </c>
      <c r="F76" t="str">
        <f>VLOOKUP(Artifacts[[#This Row],[SOP]],SOP[#All],3,FALSE)</f>
        <v>Målarkitektur</v>
      </c>
      <c r="G76" t="str">
        <f>VLOOKUP(Artifacts[[#This Row],[SOP]],SOP[#All],2,FALSE)</f>
        <v>Fastställ arkitekturprinciper</v>
      </c>
    </row>
    <row r="77" spans="1:7" hidden="1" x14ac:dyDescent="0.2">
      <c r="A77" t="s">
        <v>43</v>
      </c>
      <c r="B77" t="s">
        <v>54</v>
      </c>
      <c r="C77" t="s">
        <v>6</v>
      </c>
      <c r="D77" t="s">
        <v>186</v>
      </c>
      <c r="E77">
        <f>COUNTIFS(Artifacts[SOP],B76,Artifacts[Input or output],"input")</f>
        <v>5</v>
      </c>
      <c r="F77" t="str">
        <f>VLOOKUP(Artifacts[[#This Row],[SOP]],SOP[#All],3,FALSE)</f>
        <v>Målarkitektur</v>
      </c>
      <c r="G77" t="str">
        <f>VLOOKUP(Artifacts[[#This Row],[SOP]],SOP[#All],2,FALSE)</f>
        <v>Fastställ arkitekturprinciper</v>
      </c>
    </row>
    <row r="78" spans="1:7" hidden="1" x14ac:dyDescent="0.2">
      <c r="A78" t="s">
        <v>47</v>
      </c>
      <c r="B78" t="s">
        <v>54</v>
      </c>
      <c r="C78" t="s">
        <v>6</v>
      </c>
      <c r="D78" t="s">
        <v>186</v>
      </c>
      <c r="E78">
        <f>COUNTIFS(Artifacts[SOP],B77,Artifacts[Input or output],"input")</f>
        <v>5</v>
      </c>
      <c r="F78" t="str">
        <f>VLOOKUP(Artifacts[[#This Row],[SOP]],SOP[#All],3,FALSE)</f>
        <v>Målarkitektur</v>
      </c>
      <c r="G78" t="str">
        <f>VLOOKUP(Artifacts[[#This Row],[SOP]],SOP[#All],2,FALSE)</f>
        <v>Fastställ arkitekturprinciper</v>
      </c>
    </row>
    <row r="79" spans="1:7" hidden="1" x14ac:dyDescent="0.2">
      <c r="A79" t="s">
        <v>38</v>
      </c>
      <c r="B79" t="s">
        <v>54</v>
      </c>
      <c r="C79" t="s">
        <v>8</v>
      </c>
      <c r="D79" t="s">
        <v>37</v>
      </c>
      <c r="E79">
        <f>COUNTIFS(Artifacts[SOP],B78,Artifacts[Input or output],"input")</f>
        <v>5</v>
      </c>
      <c r="F79" t="str">
        <f>VLOOKUP(Artifacts[[#This Row],[SOP]],SOP[#All],3,FALSE)</f>
        <v>Målarkitektur</v>
      </c>
      <c r="G79" t="str">
        <f>VLOOKUP(Artifacts[[#This Row],[SOP]],SOP[#All],2,FALSE)</f>
        <v>Fastställ arkitekturprinciper</v>
      </c>
    </row>
    <row r="80" spans="1:7" hidden="1" x14ac:dyDescent="0.2">
      <c r="A80" t="s">
        <v>38</v>
      </c>
      <c r="B80" t="s">
        <v>55</v>
      </c>
      <c r="C80" t="s">
        <v>6</v>
      </c>
      <c r="D80" t="s">
        <v>186</v>
      </c>
      <c r="E80">
        <f>COUNTIFS(Artifacts[SOP],B79,Artifacts[Input or output],"input")</f>
        <v>5</v>
      </c>
      <c r="F80" t="str">
        <f>VLOOKUP(Artifacts[[#This Row],[SOP]],SOP[#All],3,FALSE)</f>
        <v>Målarkitektur</v>
      </c>
      <c r="G80" t="str">
        <f>VLOOKUP(Artifacts[[#This Row],[SOP]],SOP[#All],2,FALSE)</f>
        <v>Definiera NFR</v>
      </c>
    </row>
    <row r="81" spans="1:7" hidden="1" x14ac:dyDescent="0.2">
      <c r="A81" t="s">
        <v>43</v>
      </c>
      <c r="B81" t="s">
        <v>55</v>
      </c>
      <c r="C81" t="s">
        <v>6</v>
      </c>
      <c r="D81" t="s">
        <v>186</v>
      </c>
      <c r="E81">
        <f>COUNTIFS(Artifacts[SOP],B80,Artifacts[Input or output],"input")</f>
        <v>3</v>
      </c>
      <c r="F81" t="str">
        <f>VLOOKUP(Artifacts[[#This Row],[SOP]],SOP[#All],3,FALSE)</f>
        <v>Målarkitektur</v>
      </c>
      <c r="G81" t="str">
        <f>VLOOKUP(Artifacts[[#This Row],[SOP]],SOP[#All],2,FALSE)</f>
        <v>Definiera NFR</v>
      </c>
    </row>
    <row r="82" spans="1:7" hidden="1" x14ac:dyDescent="0.2">
      <c r="A82" t="s">
        <v>52</v>
      </c>
      <c r="B82" t="s">
        <v>55</v>
      </c>
      <c r="C82" t="s">
        <v>6</v>
      </c>
      <c r="D82" t="s">
        <v>186</v>
      </c>
      <c r="E82">
        <f>COUNTIFS(Artifacts[SOP],B81,Artifacts[Input or output],"input")</f>
        <v>3</v>
      </c>
      <c r="F82" t="str">
        <f>VLOOKUP(Artifacts[[#This Row],[SOP]],SOP[#All],3,FALSE)</f>
        <v>Målarkitektur</v>
      </c>
      <c r="G82" t="str">
        <f>VLOOKUP(Artifacts[[#This Row],[SOP]],SOP[#All],2,FALSE)</f>
        <v>Definiera NFR</v>
      </c>
    </row>
    <row r="83" spans="1:7" hidden="1" x14ac:dyDescent="0.2">
      <c r="A83" t="s">
        <v>56</v>
      </c>
      <c r="B83" t="s">
        <v>55</v>
      </c>
      <c r="C83" t="s">
        <v>8</v>
      </c>
      <c r="D83" t="s">
        <v>37</v>
      </c>
      <c r="E83">
        <f>COUNTIFS(Artifacts[SOP],B82,Artifacts[Input or output],"input")</f>
        <v>3</v>
      </c>
      <c r="F83" t="str">
        <f>VLOOKUP(Artifacts[[#This Row],[SOP]],SOP[#All],3,FALSE)</f>
        <v>Målarkitektur</v>
      </c>
      <c r="G83" t="str">
        <f>VLOOKUP(Artifacts[[#This Row],[SOP]],SOP[#All],2,FALSE)</f>
        <v>Definiera NFR</v>
      </c>
    </row>
    <row r="84" spans="1:7" hidden="1" x14ac:dyDescent="0.2">
      <c r="A84" t="s">
        <v>38</v>
      </c>
      <c r="B84" t="s">
        <v>57</v>
      </c>
      <c r="C84" t="s">
        <v>6</v>
      </c>
      <c r="D84" t="s">
        <v>186</v>
      </c>
      <c r="E84">
        <f>COUNTIFS(Artifacts[SOP],B83,Artifacts[Input or output],"input")</f>
        <v>3</v>
      </c>
      <c r="F84" t="str">
        <f>VLOOKUP(Artifacts[[#This Row],[SOP]],SOP[#All],3,FALSE)</f>
        <v>Målarkitektur</v>
      </c>
      <c r="G84" t="str">
        <f>VLOOKUP(Artifacts[[#This Row],[SOP]],SOP[#All],2,FALSE)</f>
        <v>Definiera teknisk plattform</v>
      </c>
    </row>
    <row r="85" spans="1:7" hidden="1" x14ac:dyDescent="0.2">
      <c r="A85" t="s">
        <v>56</v>
      </c>
      <c r="B85" t="s">
        <v>57</v>
      </c>
      <c r="C85" t="s">
        <v>6</v>
      </c>
      <c r="D85" t="s">
        <v>186</v>
      </c>
      <c r="E85">
        <f>COUNTIFS(Artifacts[SOP],B84,Artifacts[Input or output],"input")</f>
        <v>3</v>
      </c>
      <c r="F85" t="str">
        <f>VLOOKUP(Artifacts[[#This Row],[SOP]],SOP[#All],3,FALSE)</f>
        <v>Målarkitektur</v>
      </c>
      <c r="G85" t="str">
        <f>VLOOKUP(Artifacts[[#This Row],[SOP]],SOP[#All],2,FALSE)</f>
        <v>Definiera teknisk plattform</v>
      </c>
    </row>
    <row r="86" spans="1:7" hidden="1" x14ac:dyDescent="0.2">
      <c r="A86" t="s">
        <v>45</v>
      </c>
      <c r="B86" t="s">
        <v>57</v>
      </c>
      <c r="C86" t="s">
        <v>6</v>
      </c>
      <c r="D86" t="s">
        <v>186</v>
      </c>
      <c r="E86">
        <f>COUNTIFS(Artifacts[SOP],B85,Artifacts[Input or output],"input")</f>
        <v>3</v>
      </c>
      <c r="F86" t="str">
        <f>VLOOKUP(Artifacts[[#This Row],[SOP]],SOP[#All],3,FALSE)</f>
        <v>Målarkitektur</v>
      </c>
      <c r="G86" t="str">
        <f>VLOOKUP(Artifacts[[#This Row],[SOP]],SOP[#All],2,FALSE)</f>
        <v>Definiera teknisk plattform</v>
      </c>
    </row>
    <row r="87" spans="1:7" hidden="1" x14ac:dyDescent="0.2">
      <c r="A87" t="s">
        <v>58</v>
      </c>
      <c r="B87" t="s">
        <v>57</v>
      </c>
      <c r="C87" t="s">
        <v>8</v>
      </c>
      <c r="D87" t="s">
        <v>37</v>
      </c>
      <c r="E87">
        <f>COUNTIFS(Artifacts[SOP],B86,Artifacts[Input or output],"input")</f>
        <v>3</v>
      </c>
      <c r="F87" t="str">
        <f>VLOOKUP(Artifacts[[#This Row],[SOP]],SOP[#All],3,FALSE)</f>
        <v>Målarkitektur</v>
      </c>
      <c r="G87" t="str">
        <f>VLOOKUP(Artifacts[[#This Row],[SOP]],SOP[#All],2,FALSE)</f>
        <v>Definiera teknisk plattform</v>
      </c>
    </row>
    <row r="88" spans="1:7" hidden="1" x14ac:dyDescent="0.2">
      <c r="A88" t="s">
        <v>59</v>
      </c>
      <c r="B88" t="s">
        <v>57</v>
      </c>
      <c r="C88" t="s">
        <v>8</v>
      </c>
      <c r="D88" t="s">
        <v>37</v>
      </c>
      <c r="E88">
        <f>COUNTIFS(Artifacts[SOP],B87,Artifacts[Input or output],"input")</f>
        <v>3</v>
      </c>
      <c r="F88" t="str">
        <f>VLOOKUP(Artifacts[[#This Row],[SOP]],SOP[#All],3,FALSE)</f>
        <v>Målarkitektur</v>
      </c>
      <c r="G88" t="str">
        <f>VLOOKUP(Artifacts[[#This Row],[SOP]],SOP[#All],2,FALSE)</f>
        <v>Definiera teknisk plattform</v>
      </c>
    </row>
    <row r="89" spans="1:7" hidden="1" x14ac:dyDescent="0.2">
      <c r="A89" t="s">
        <v>40</v>
      </c>
      <c r="B89" t="s">
        <v>60</v>
      </c>
      <c r="C89" t="s">
        <v>6</v>
      </c>
      <c r="D89" t="s">
        <v>186</v>
      </c>
      <c r="E89">
        <f>COUNTIFS(Artifacts[SOP],B88,Artifacts[Input or output],"input")</f>
        <v>3</v>
      </c>
      <c r="F89" t="str">
        <f>VLOOKUP(Artifacts[[#This Row],[SOP]],SOP[#All],3,FALSE)</f>
        <v>Målarkitektur</v>
      </c>
      <c r="G89" t="str">
        <f>VLOOKUP(Artifacts[[#This Row],[SOP]],SOP[#All],2,FALSE)</f>
        <v>Dokumentera målarkitektur</v>
      </c>
    </row>
    <row r="90" spans="1:7" hidden="1" x14ac:dyDescent="0.2">
      <c r="A90" t="s">
        <v>20</v>
      </c>
      <c r="B90" t="s">
        <v>60</v>
      </c>
      <c r="C90" t="s">
        <v>6</v>
      </c>
      <c r="D90" t="s">
        <v>186</v>
      </c>
      <c r="E90">
        <f>COUNTIFS(Artifacts[SOP],B89,Artifacts[Input or output],"input")</f>
        <v>7</v>
      </c>
      <c r="F90" t="str">
        <f>VLOOKUP(Artifacts[[#This Row],[SOP]],SOP[#All],3,FALSE)</f>
        <v>Målarkitektur</v>
      </c>
      <c r="G90" t="str">
        <f>VLOOKUP(Artifacts[[#This Row],[SOP]],SOP[#All],2,FALSE)</f>
        <v>Dokumentera målarkitektur</v>
      </c>
    </row>
    <row r="91" spans="1:7" hidden="1" x14ac:dyDescent="0.2">
      <c r="A91" t="s">
        <v>44</v>
      </c>
      <c r="B91" t="s">
        <v>60</v>
      </c>
      <c r="C91" t="s">
        <v>6</v>
      </c>
      <c r="D91" t="s">
        <v>186</v>
      </c>
      <c r="E91">
        <f>COUNTIFS(Artifacts[SOP],B90,Artifacts[Input or output],"input")</f>
        <v>7</v>
      </c>
      <c r="F91" t="str">
        <f>VLOOKUP(Artifacts[[#This Row],[SOP]],SOP[#All],3,FALSE)</f>
        <v>Målarkitektur</v>
      </c>
      <c r="G91" t="str">
        <f>VLOOKUP(Artifacts[[#This Row],[SOP]],SOP[#All],2,FALSE)</f>
        <v>Dokumentera målarkitektur</v>
      </c>
    </row>
    <row r="92" spans="1:7" hidden="1" x14ac:dyDescent="0.2">
      <c r="A92" t="s">
        <v>47</v>
      </c>
      <c r="B92" t="s">
        <v>60</v>
      </c>
      <c r="C92" t="s">
        <v>6</v>
      </c>
      <c r="D92" t="s">
        <v>186</v>
      </c>
      <c r="E92">
        <f>COUNTIFS(Artifacts[SOP],B91,Artifacts[Input or output],"input")</f>
        <v>7</v>
      </c>
      <c r="F92" t="str">
        <f>VLOOKUP(Artifacts[[#This Row],[SOP]],SOP[#All],3,FALSE)</f>
        <v>Målarkitektur</v>
      </c>
      <c r="G92" t="str">
        <f>VLOOKUP(Artifacts[[#This Row],[SOP]],SOP[#All],2,FALSE)</f>
        <v>Dokumentera målarkitektur</v>
      </c>
    </row>
    <row r="93" spans="1:7" hidden="1" x14ac:dyDescent="0.2">
      <c r="A93" t="s">
        <v>43</v>
      </c>
      <c r="B93" t="s">
        <v>60</v>
      </c>
      <c r="C93" t="s">
        <v>6</v>
      </c>
      <c r="D93" t="s">
        <v>186</v>
      </c>
      <c r="E93">
        <f>COUNTIFS(Artifacts[SOP],B92,Artifacts[Input or output],"input")</f>
        <v>7</v>
      </c>
      <c r="F93" t="str">
        <f>VLOOKUP(Artifacts[[#This Row],[SOP]],SOP[#All],3,FALSE)</f>
        <v>Målarkitektur</v>
      </c>
      <c r="G93" t="str">
        <f>VLOOKUP(Artifacts[[#This Row],[SOP]],SOP[#All],2,FALSE)</f>
        <v>Dokumentera målarkitektur</v>
      </c>
    </row>
    <row r="94" spans="1:7" hidden="1" x14ac:dyDescent="0.2">
      <c r="A94" t="s">
        <v>52</v>
      </c>
      <c r="B94" t="s">
        <v>60</v>
      </c>
      <c r="C94" t="s">
        <v>6</v>
      </c>
      <c r="D94" t="s">
        <v>186</v>
      </c>
      <c r="E94">
        <f>COUNTIFS(Artifacts[SOP],B93,Artifacts[Input or output],"input")</f>
        <v>7</v>
      </c>
      <c r="F94" t="str">
        <f>VLOOKUP(Artifacts[[#This Row],[SOP]],SOP[#All],3,FALSE)</f>
        <v>Målarkitektur</v>
      </c>
      <c r="G94" t="str">
        <f>VLOOKUP(Artifacts[[#This Row],[SOP]],SOP[#All],2,FALSE)</f>
        <v>Dokumentera målarkitektur</v>
      </c>
    </row>
    <row r="95" spans="1:7" hidden="1" x14ac:dyDescent="0.2">
      <c r="A95" t="s">
        <v>58</v>
      </c>
      <c r="B95" t="s">
        <v>60</v>
      </c>
      <c r="C95" t="s">
        <v>6</v>
      </c>
      <c r="D95" t="s">
        <v>186</v>
      </c>
      <c r="E95">
        <f>COUNTIFS(Artifacts[SOP],B94,Artifacts[Input or output],"input")</f>
        <v>7</v>
      </c>
      <c r="F95" t="str">
        <f>VLOOKUP(Artifacts[[#This Row],[SOP]],SOP[#All],3,FALSE)</f>
        <v>Målarkitektur</v>
      </c>
      <c r="G95" t="str">
        <f>VLOOKUP(Artifacts[[#This Row],[SOP]],SOP[#All],2,FALSE)</f>
        <v>Dokumentera målarkitektur</v>
      </c>
    </row>
    <row r="96" spans="1:7" hidden="1" x14ac:dyDescent="0.2">
      <c r="A96" t="s">
        <v>59</v>
      </c>
      <c r="B96" t="s">
        <v>60</v>
      </c>
      <c r="C96" t="s">
        <v>8</v>
      </c>
      <c r="D96" t="s">
        <v>37</v>
      </c>
      <c r="E96">
        <f>COUNTIFS(Artifacts[SOP],B95,Artifacts[Input or output],"input")</f>
        <v>7</v>
      </c>
      <c r="F96" t="str">
        <f>VLOOKUP(Artifacts[[#This Row],[SOP]],SOP[#All],3,FALSE)</f>
        <v>Målarkitektur</v>
      </c>
      <c r="G96" t="str">
        <f>VLOOKUP(Artifacts[[#This Row],[SOP]],SOP[#All],2,FALSE)</f>
        <v>Dokumentera målarkitektur</v>
      </c>
    </row>
    <row r="97" spans="1:7" hidden="1" x14ac:dyDescent="0.2">
      <c r="A97" t="s">
        <v>26</v>
      </c>
      <c r="B97" t="s">
        <v>61</v>
      </c>
      <c r="C97" t="s">
        <v>6</v>
      </c>
      <c r="D97" t="s">
        <v>186</v>
      </c>
      <c r="E97">
        <f>COUNTIFS(Artifacts[SOP],B96,Artifacts[Input or output],"input")</f>
        <v>7</v>
      </c>
      <c r="F97" t="str">
        <f>VLOOKUP(Artifacts[[#This Row],[SOP]],SOP[#All],3,FALSE)</f>
        <v>Roadmap</v>
      </c>
      <c r="G97" t="str">
        <f>VLOOKUP(Artifacts[[#This Row],[SOP]],SOP[#All],2,FALSE)</f>
        <v>Skapa MVP</v>
      </c>
    </row>
    <row r="98" spans="1:7" hidden="1" x14ac:dyDescent="0.2">
      <c r="A98" t="s">
        <v>13</v>
      </c>
      <c r="B98" t="s">
        <v>61</v>
      </c>
      <c r="C98" t="s">
        <v>6</v>
      </c>
      <c r="D98" t="s">
        <v>186</v>
      </c>
      <c r="E98">
        <f>COUNTIFS(Artifacts[SOP],B97,Artifacts[Input or output],"input")</f>
        <v>3</v>
      </c>
      <c r="F98" t="str">
        <f>VLOOKUP(Artifacts[[#This Row],[SOP]],SOP[#All],3,FALSE)</f>
        <v>Roadmap</v>
      </c>
      <c r="G98" t="str">
        <f>VLOOKUP(Artifacts[[#This Row],[SOP]],SOP[#All],2,FALSE)</f>
        <v>Skapa MVP</v>
      </c>
    </row>
    <row r="99" spans="1:7" hidden="1" x14ac:dyDescent="0.2">
      <c r="A99" t="s">
        <v>7</v>
      </c>
      <c r="B99" t="s">
        <v>61</v>
      </c>
      <c r="C99" t="s">
        <v>6</v>
      </c>
      <c r="D99" t="s">
        <v>186</v>
      </c>
      <c r="E99">
        <f>COUNTIFS(Artifacts[SOP],B98,Artifacts[Input or output],"input")</f>
        <v>3</v>
      </c>
      <c r="F99" t="str">
        <f>VLOOKUP(Artifacts[[#This Row],[SOP]],SOP[#All],3,FALSE)</f>
        <v>Roadmap</v>
      </c>
      <c r="G99" t="str">
        <f>VLOOKUP(Artifacts[[#This Row],[SOP]],SOP[#All],2,FALSE)</f>
        <v>Skapa MVP</v>
      </c>
    </row>
    <row r="100" spans="1:7" hidden="1" x14ac:dyDescent="0.2">
      <c r="A100" t="s">
        <v>62</v>
      </c>
      <c r="B100" t="s">
        <v>61</v>
      </c>
      <c r="C100" t="s">
        <v>8</v>
      </c>
      <c r="D100" t="s">
        <v>9</v>
      </c>
      <c r="E100">
        <f>COUNTIFS(Artifacts[SOP],B99,Artifacts[Input or output],"input")</f>
        <v>3</v>
      </c>
      <c r="F100" t="str">
        <f>VLOOKUP(Artifacts[[#This Row],[SOP]],SOP[#All],3,FALSE)</f>
        <v>Roadmap</v>
      </c>
      <c r="G100" t="str">
        <f>VLOOKUP(Artifacts[[#This Row],[SOP]],SOP[#All],2,FALSE)</f>
        <v>Skapa MVP</v>
      </c>
    </row>
    <row r="101" spans="1:7" hidden="1" x14ac:dyDescent="0.2">
      <c r="A101" t="s">
        <v>26</v>
      </c>
      <c r="B101" t="s">
        <v>63</v>
      </c>
      <c r="C101" t="s">
        <v>6</v>
      </c>
      <c r="D101" t="s">
        <v>186</v>
      </c>
      <c r="E101">
        <f>COUNTIFS(Artifacts[SOP],B100,Artifacts[Input or output],"input")</f>
        <v>3</v>
      </c>
      <c r="F101" t="str">
        <f>VLOOKUP(Artifacts[[#This Row],[SOP]],SOP[#All],3,FALSE)</f>
        <v>Roadmap</v>
      </c>
      <c r="G101" t="str">
        <f>VLOOKUP(Artifacts[[#This Row],[SOP]],SOP[#All],2,FALSE)</f>
        <v>Strukturera story map till leveranspaket</v>
      </c>
    </row>
    <row r="102" spans="1:7" hidden="1" x14ac:dyDescent="0.2">
      <c r="A102" t="s">
        <v>62</v>
      </c>
      <c r="B102" t="s">
        <v>63</v>
      </c>
      <c r="C102" t="s">
        <v>6</v>
      </c>
      <c r="D102" t="s">
        <v>186</v>
      </c>
      <c r="E102">
        <f>COUNTIFS(Artifacts[SOP],B101,Artifacts[Input or output],"input")</f>
        <v>3</v>
      </c>
      <c r="F102" t="str">
        <f>VLOOKUP(Artifacts[[#This Row],[SOP]],SOP[#All],3,FALSE)</f>
        <v>Roadmap</v>
      </c>
      <c r="G102" t="str">
        <f>VLOOKUP(Artifacts[[#This Row],[SOP]],SOP[#All],2,FALSE)</f>
        <v>Strukturera story map till leveranspaket</v>
      </c>
    </row>
    <row r="103" spans="1:7" hidden="1" x14ac:dyDescent="0.2">
      <c r="A103" t="s">
        <v>13</v>
      </c>
      <c r="B103" t="s">
        <v>63</v>
      </c>
      <c r="C103" t="s">
        <v>6</v>
      </c>
      <c r="D103" t="s">
        <v>186</v>
      </c>
      <c r="E103">
        <f>COUNTIFS(Artifacts[SOP],B102,Artifacts[Input or output],"input")</f>
        <v>3</v>
      </c>
      <c r="F103" t="str">
        <f>VLOOKUP(Artifacts[[#This Row],[SOP]],SOP[#All],3,FALSE)</f>
        <v>Roadmap</v>
      </c>
      <c r="G103" t="str">
        <f>VLOOKUP(Artifacts[[#This Row],[SOP]],SOP[#All],2,FALSE)</f>
        <v>Strukturera story map till leveranspaket</v>
      </c>
    </row>
    <row r="104" spans="1:7" hidden="1" x14ac:dyDescent="0.2">
      <c r="A104" t="s">
        <v>64</v>
      </c>
      <c r="B104" t="s">
        <v>63</v>
      </c>
      <c r="C104" t="s">
        <v>8</v>
      </c>
      <c r="D104" t="s">
        <v>9</v>
      </c>
      <c r="E104">
        <f>COUNTIFS(Artifacts[SOP],B103,Artifacts[Input or output],"input")</f>
        <v>3</v>
      </c>
      <c r="F104" t="str">
        <f>VLOOKUP(Artifacts[[#This Row],[SOP]],SOP[#All],3,FALSE)</f>
        <v>Roadmap</v>
      </c>
      <c r="G104" t="str">
        <f>VLOOKUP(Artifacts[[#This Row],[SOP]],SOP[#All],2,FALSE)</f>
        <v>Strukturera story map till leveranspaket</v>
      </c>
    </row>
    <row r="105" spans="1:7" hidden="1" x14ac:dyDescent="0.2">
      <c r="A105" t="s">
        <v>64</v>
      </c>
      <c r="B105" t="s">
        <v>65</v>
      </c>
      <c r="C105" t="s">
        <v>6</v>
      </c>
      <c r="D105" t="s">
        <v>186</v>
      </c>
      <c r="E105">
        <f>COUNTIFS(Artifacts[SOP],B104,Artifacts[Input or output],"input")</f>
        <v>3</v>
      </c>
      <c r="F105" t="str">
        <f>VLOOKUP(Artifacts[[#This Row],[SOP]],SOP[#All],3,FALSE)</f>
        <v>Roadmap</v>
      </c>
      <c r="G105" t="str">
        <f>VLOOKUP(Artifacts[[#This Row],[SOP]],SOP[#All],2,FALSE)</f>
        <v>Skapa releaseplan</v>
      </c>
    </row>
    <row r="106" spans="1:7" hidden="1" x14ac:dyDescent="0.2">
      <c r="A106" t="s">
        <v>62</v>
      </c>
      <c r="B106" t="s">
        <v>65</v>
      </c>
      <c r="C106" t="s">
        <v>6</v>
      </c>
      <c r="D106" t="s">
        <v>186</v>
      </c>
      <c r="E106">
        <f>COUNTIFS(Artifacts[SOP],B105,Artifacts[Input or output],"input")</f>
        <v>3</v>
      </c>
      <c r="F106" t="str">
        <f>VLOOKUP(Artifacts[[#This Row],[SOP]],SOP[#All],3,FALSE)</f>
        <v>Roadmap</v>
      </c>
      <c r="G106" t="str">
        <f>VLOOKUP(Artifacts[[#This Row],[SOP]],SOP[#All],2,FALSE)</f>
        <v>Skapa releaseplan</v>
      </c>
    </row>
    <row r="107" spans="1:7" hidden="1" x14ac:dyDescent="0.2">
      <c r="A107" t="s">
        <v>16</v>
      </c>
      <c r="B107" t="s">
        <v>65</v>
      </c>
      <c r="C107" t="s">
        <v>6</v>
      </c>
      <c r="D107" t="s">
        <v>186</v>
      </c>
      <c r="E107">
        <f>COUNTIFS(Artifacts[SOP],B106,Artifacts[Input or output],"input")</f>
        <v>3</v>
      </c>
      <c r="F107" t="str">
        <f>VLOOKUP(Artifacts[[#This Row],[SOP]],SOP[#All],3,FALSE)</f>
        <v>Roadmap</v>
      </c>
      <c r="G107" t="str">
        <f>VLOOKUP(Artifacts[[#This Row],[SOP]],SOP[#All],2,FALSE)</f>
        <v>Skapa releaseplan</v>
      </c>
    </row>
    <row r="108" spans="1:7" hidden="1" x14ac:dyDescent="0.2">
      <c r="A108" t="s">
        <v>66</v>
      </c>
      <c r="B108" t="s">
        <v>65</v>
      </c>
      <c r="C108" t="s">
        <v>8</v>
      </c>
      <c r="D108" t="s">
        <v>9</v>
      </c>
      <c r="E108">
        <f>COUNTIFS(Artifacts[SOP],B107,Artifacts[Input or output],"input")</f>
        <v>3</v>
      </c>
      <c r="F108" t="str">
        <f>VLOOKUP(Artifacts[[#This Row],[SOP]],SOP[#All],3,FALSE)</f>
        <v>Roadmap</v>
      </c>
      <c r="G108" t="str">
        <f>VLOOKUP(Artifacts[[#This Row],[SOP]],SOP[#All],2,FALSE)</f>
        <v>Skapa releaseplan</v>
      </c>
    </row>
    <row r="109" spans="1:7" hidden="1" x14ac:dyDescent="0.2">
      <c r="A109" t="s">
        <v>66</v>
      </c>
      <c r="B109" t="s">
        <v>67</v>
      </c>
      <c r="C109" t="s">
        <v>6</v>
      </c>
      <c r="D109" t="s">
        <v>186</v>
      </c>
      <c r="E109">
        <f>COUNTIFS(Artifacts[SOP],B108,Artifacts[Input or output],"input")</f>
        <v>3</v>
      </c>
      <c r="F109" t="str">
        <f>VLOOKUP(Artifacts[[#This Row],[SOP]],SOP[#All],3,FALSE)</f>
        <v>Roadmap</v>
      </c>
      <c r="G109" t="str">
        <f>VLOOKUP(Artifacts[[#This Row],[SOP]],SOP[#All],2,FALSE)</f>
        <v>Skapa produktroadmap</v>
      </c>
    </row>
    <row r="110" spans="1:7" hidden="1" x14ac:dyDescent="0.2">
      <c r="A110" t="s">
        <v>31</v>
      </c>
      <c r="B110" t="s">
        <v>67</v>
      </c>
      <c r="C110" t="s">
        <v>6</v>
      </c>
      <c r="D110" t="s">
        <v>186</v>
      </c>
      <c r="E110">
        <f>COUNTIFS(Artifacts[SOP],B109,Artifacts[Input or output],"input")</f>
        <v>3</v>
      </c>
      <c r="F110" t="str">
        <f>VLOOKUP(Artifacts[[#This Row],[SOP]],SOP[#All],3,FALSE)</f>
        <v>Roadmap</v>
      </c>
      <c r="G110" t="str">
        <f>VLOOKUP(Artifacts[[#This Row],[SOP]],SOP[#All],2,FALSE)</f>
        <v>Skapa produktroadmap</v>
      </c>
    </row>
    <row r="111" spans="1:7" hidden="1" x14ac:dyDescent="0.2">
      <c r="A111" t="s">
        <v>16</v>
      </c>
      <c r="B111" t="s">
        <v>67</v>
      </c>
      <c r="C111" t="s">
        <v>6</v>
      </c>
      <c r="D111" t="s">
        <v>186</v>
      </c>
      <c r="E111">
        <f>COUNTIFS(Artifacts[SOP],B110,Artifacts[Input or output],"input")</f>
        <v>3</v>
      </c>
      <c r="F111" t="str">
        <f>VLOOKUP(Artifacts[[#This Row],[SOP]],SOP[#All],3,FALSE)</f>
        <v>Roadmap</v>
      </c>
      <c r="G111" t="str">
        <f>VLOOKUP(Artifacts[[#This Row],[SOP]],SOP[#All],2,FALSE)</f>
        <v>Skapa produktroadmap</v>
      </c>
    </row>
    <row r="112" spans="1:7" hidden="1" x14ac:dyDescent="0.2">
      <c r="A112" t="s">
        <v>68</v>
      </c>
      <c r="B112" t="s">
        <v>67</v>
      </c>
      <c r="C112" t="s">
        <v>8</v>
      </c>
      <c r="D112" t="s">
        <v>9</v>
      </c>
      <c r="E112">
        <f>COUNTIFS(Artifacts[SOP],B111,Artifacts[Input or output],"input")</f>
        <v>3</v>
      </c>
      <c r="F112" t="str">
        <f>VLOOKUP(Artifacts[[#This Row],[SOP]],SOP[#All],3,FALSE)</f>
        <v>Roadmap</v>
      </c>
      <c r="G112" t="str">
        <f>VLOOKUP(Artifacts[[#This Row],[SOP]],SOP[#All],2,FALSE)</f>
        <v>Skapa produktroadmap</v>
      </c>
    </row>
    <row r="113" spans="1:7" hidden="1" x14ac:dyDescent="0.2">
      <c r="A113" t="s">
        <v>64</v>
      </c>
      <c r="B113" t="s">
        <v>69</v>
      </c>
      <c r="C113" t="s">
        <v>6</v>
      </c>
      <c r="D113" t="s">
        <v>186</v>
      </c>
      <c r="E113">
        <f>COUNTIFS(Artifacts[SOP],B112,Artifacts[Input or output],"input")</f>
        <v>3</v>
      </c>
      <c r="F113" t="str">
        <f>VLOOKUP(Artifacts[[#This Row],[SOP]],SOP[#All],3,FALSE)</f>
        <v>Roadmap</v>
      </c>
      <c r="G113" t="str">
        <f>VLOOKUP(Artifacts[[#This Row],[SOP]],SOP[#All],2,FALSE)</f>
        <v>Prioritera funktionalitet</v>
      </c>
    </row>
    <row r="114" spans="1:7" hidden="1" x14ac:dyDescent="0.2">
      <c r="A114" t="s">
        <v>16</v>
      </c>
      <c r="B114" t="s">
        <v>69</v>
      </c>
      <c r="C114" t="s">
        <v>6</v>
      </c>
      <c r="D114" t="s">
        <v>186</v>
      </c>
      <c r="E114">
        <f>COUNTIFS(Artifacts[SOP],B113,Artifacts[Input or output],"input")</f>
        <v>4</v>
      </c>
      <c r="F114" t="str">
        <f>VLOOKUP(Artifacts[[#This Row],[SOP]],SOP[#All],3,FALSE)</f>
        <v>Roadmap</v>
      </c>
      <c r="G114" t="str">
        <f>VLOOKUP(Artifacts[[#This Row],[SOP]],SOP[#All],2,FALSE)</f>
        <v>Prioritera funktionalitet</v>
      </c>
    </row>
    <row r="115" spans="1:7" hidden="1" x14ac:dyDescent="0.2">
      <c r="A115" t="s">
        <v>62</v>
      </c>
      <c r="B115" t="s">
        <v>69</v>
      </c>
      <c r="C115" t="s">
        <v>6</v>
      </c>
      <c r="D115" t="s">
        <v>186</v>
      </c>
      <c r="E115">
        <f>COUNTIFS(Artifacts[SOP],B114,Artifacts[Input or output],"input")</f>
        <v>4</v>
      </c>
      <c r="F115" t="str">
        <f>VLOOKUP(Artifacts[[#This Row],[SOP]],SOP[#All],3,FALSE)</f>
        <v>Roadmap</v>
      </c>
      <c r="G115" t="str">
        <f>VLOOKUP(Artifacts[[#This Row],[SOP]],SOP[#All],2,FALSE)</f>
        <v>Prioritera funktionalitet</v>
      </c>
    </row>
    <row r="116" spans="1:7" hidden="1" x14ac:dyDescent="0.2">
      <c r="A116" t="s">
        <v>33</v>
      </c>
      <c r="B116" t="s">
        <v>69</v>
      </c>
      <c r="C116" t="s">
        <v>6</v>
      </c>
      <c r="D116" t="s">
        <v>186</v>
      </c>
      <c r="E116">
        <f>COUNTIFS(Artifacts[SOP],B115,Artifacts[Input or output],"input")</f>
        <v>4</v>
      </c>
      <c r="F116" t="str">
        <f>VLOOKUP(Artifacts[[#This Row],[SOP]],SOP[#All],3,FALSE)</f>
        <v>Roadmap</v>
      </c>
      <c r="G116" t="str">
        <f>VLOOKUP(Artifacts[[#This Row],[SOP]],SOP[#All],2,FALSE)</f>
        <v>Prioritera funktionalitet</v>
      </c>
    </row>
    <row r="117" spans="1:7" hidden="1" x14ac:dyDescent="0.2">
      <c r="A117" t="s">
        <v>31</v>
      </c>
      <c r="B117" t="s">
        <v>69</v>
      </c>
      <c r="C117" t="s">
        <v>8</v>
      </c>
      <c r="D117" t="s">
        <v>9</v>
      </c>
      <c r="E117">
        <f>COUNTIFS(Artifacts[SOP],B116,Artifacts[Input or output],"input")</f>
        <v>4</v>
      </c>
      <c r="F117" t="str">
        <f>VLOOKUP(Artifacts[[#This Row],[SOP]],SOP[#All],3,FALSE)</f>
        <v>Roadmap</v>
      </c>
      <c r="G117" t="str">
        <f>VLOOKUP(Artifacts[[#This Row],[SOP]],SOP[#All],2,FALSE)</f>
        <v>Prioritera funktionalitet</v>
      </c>
    </row>
    <row r="118" spans="1:7" hidden="1" x14ac:dyDescent="0.2">
      <c r="A118" t="s">
        <v>64</v>
      </c>
      <c r="B118" t="s">
        <v>70</v>
      </c>
      <c r="C118" t="s">
        <v>6</v>
      </c>
      <c r="D118" t="s">
        <v>186</v>
      </c>
      <c r="E118">
        <f>COUNTIFS(Artifacts[SOP],B117,Artifacts[Input or output],"input")</f>
        <v>4</v>
      </c>
      <c r="F118" t="str">
        <f>VLOOKUP(Artifacts[[#This Row],[SOP]],SOP[#All],3,FALSE)</f>
        <v>Roadmap</v>
      </c>
      <c r="G118" t="str">
        <f>VLOOKUP(Artifacts[[#This Row],[SOP]],SOP[#All],2,FALSE)</f>
        <v>Identifiera tekniska beroenden</v>
      </c>
    </row>
    <row r="119" spans="1:7" hidden="1" x14ac:dyDescent="0.2">
      <c r="A119" t="s">
        <v>20</v>
      </c>
      <c r="B119" t="s">
        <v>70</v>
      </c>
      <c r="C119" t="s">
        <v>6</v>
      </c>
      <c r="D119" t="s">
        <v>186</v>
      </c>
      <c r="E119">
        <f>COUNTIFS(Artifacts[SOP],B118,Artifacts[Input or output],"input")</f>
        <v>3</v>
      </c>
      <c r="F119" t="str">
        <f>VLOOKUP(Artifacts[[#This Row],[SOP]],SOP[#All],3,FALSE)</f>
        <v>Roadmap</v>
      </c>
      <c r="G119" t="str">
        <f>VLOOKUP(Artifacts[[#This Row],[SOP]],SOP[#All],2,FALSE)</f>
        <v>Identifiera tekniska beroenden</v>
      </c>
    </row>
    <row r="120" spans="1:7" hidden="1" x14ac:dyDescent="0.2">
      <c r="A120" t="s">
        <v>44</v>
      </c>
      <c r="B120" t="s">
        <v>70</v>
      </c>
      <c r="C120" t="s">
        <v>6</v>
      </c>
      <c r="D120" t="s">
        <v>186</v>
      </c>
      <c r="E120">
        <f>COUNTIFS(Artifacts[SOP],B119,Artifacts[Input or output],"input")</f>
        <v>3</v>
      </c>
      <c r="F120" t="str">
        <f>VLOOKUP(Artifacts[[#This Row],[SOP]],SOP[#All],3,FALSE)</f>
        <v>Roadmap</v>
      </c>
      <c r="G120" t="str">
        <f>VLOOKUP(Artifacts[[#This Row],[SOP]],SOP[#All],2,FALSE)</f>
        <v>Identifiera tekniska beroenden</v>
      </c>
    </row>
    <row r="121" spans="1:7" hidden="1" x14ac:dyDescent="0.2">
      <c r="A121" t="s">
        <v>16</v>
      </c>
      <c r="B121" t="s">
        <v>70</v>
      </c>
      <c r="C121" t="s">
        <v>8</v>
      </c>
      <c r="D121" t="s">
        <v>71</v>
      </c>
      <c r="E121">
        <f>COUNTIFS(Artifacts[SOP],B120,Artifacts[Input or output],"input")</f>
        <v>3</v>
      </c>
      <c r="F121" t="str">
        <f>VLOOKUP(Artifacts[[#This Row],[SOP]],SOP[#All],3,FALSE)</f>
        <v>Roadmap</v>
      </c>
      <c r="G121" t="str">
        <f>VLOOKUP(Artifacts[[#This Row],[SOP]],SOP[#All],2,FALSE)</f>
        <v>Identifiera tekniska beroenden</v>
      </c>
    </row>
    <row r="122" spans="1:7" hidden="1" x14ac:dyDescent="0.2">
      <c r="A122" t="s">
        <v>72</v>
      </c>
      <c r="B122" t="s">
        <v>70</v>
      </c>
      <c r="C122" t="s">
        <v>8</v>
      </c>
      <c r="D122" t="s">
        <v>71</v>
      </c>
      <c r="E122">
        <f>COUNTIFS(Artifacts[SOP],B121,Artifacts[Input or output],"input")</f>
        <v>3</v>
      </c>
      <c r="F122" t="str">
        <f>VLOOKUP(Artifacts[[#This Row],[SOP]],SOP[#All],3,FALSE)</f>
        <v>Roadmap</v>
      </c>
      <c r="G122" t="str">
        <f>VLOOKUP(Artifacts[[#This Row],[SOP]],SOP[#All],2,FALSE)</f>
        <v>Identifiera tekniska beroenden</v>
      </c>
    </row>
    <row r="123" spans="1:7" hidden="1" x14ac:dyDescent="0.2">
      <c r="A123" t="s">
        <v>31</v>
      </c>
      <c r="B123" t="s">
        <v>73</v>
      </c>
      <c r="C123" t="s">
        <v>6</v>
      </c>
      <c r="D123" t="s">
        <v>186</v>
      </c>
      <c r="E123">
        <f>COUNTIFS(Artifacts[SOP],B122,Artifacts[Input or output],"input")</f>
        <v>3</v>
      </c>
      <c r="F123" t="str">
        <f>VLOOKUP(Artifacts[[#This Row],[SOP]],SOP[#All],3,FALSE)</f>
        <v>Leverans</v>
      </c>
      <c r="G123" t="str">
        <f>VLOOKUP(Artifacts[[#This Row],[SOP]],SOP[#All],2,FALSE)</f>
        <v>Backlog refinement</v>
      </c>
    </row>
    <row r="124" spans="1:7" hidden="1" x14ac:dyDescent="0.2">
      <c r="A124" t="s">
        <v>74</v>
      </c>
      <c r="B124" t="s">
        <v>73</v>
      </c>
      <c r="C124" t="s">
        <v>6</v>
      </c>
      <c r="D124" t="s">
        <v>186</v>
      </c>
      <c r="E124">
        <f>COUNTIFS(Artifacts[SOP],B123,Artifacts[Input or output],"input")</f>
        <v>3</v>
      </c>
      <c r="F124" t="str">
        <f>VLOOKUP(Artifacts[[#This Row],[SOP]],SOP[#All],3,FALSE)</f>
        <v>Leverans</v>
      </c>
      <c r="G124" t="str">
        <f>VLOOKUP(Artifacts[[#This Row],[SOP]],SOP[#All],2,FALSE)</f>
        <v>Backlog refinement</v>
      </c>
    </row>
    <row r="125" spans="1:7" hidden="1" x14ac:dyDescent="0.2">
      <c r="A125" t="s">
        <v>75</v>
      </c>
      <c r="B125" t="s">
        <v>73</v>
      </c>
      <c r="C125" t="s">
        <v>6</v>
      </c>
      <c r="D125" t="s">
        <v>186</v>
      </c>
      <c r="E125">
        <f>COUNTIFS(Artifacts[SOP],B124,Artifacts[Input or output],"input")</f>
        <v>3</v>
      </c>
      <c r="F125" t="str">
        <f>VLOOKUP(Artifacts[[#This Row],[SOP]],SOP[#All],3,FALSE)</f>
        <v>Leverans</v>
      </c>
      <c r="G125" t="str">
        <f>VLOOKUP(Artifacts[[#This Row],[SOP]],SOP[#All],2,FALSE)</f>
        <v>Backlog refinement</v>
      </c>
    </row>
    <row r="126" spans="1:7" hidden="1" x14ac:dyDescent="0.2">
      <c r="A126" t="s">
        <v>18</v>
      </c>
      <c r="B126" t="s">
        <v>73</v>
      </c>
      <c r="C126" t="s">
        <v>8</v>
      </c>
      <c r="D126" t="s">
        <v>9</v>
      </c>
      <c r="E126">
        <f>COUNTIFS(Artifacts[SOP],B125,Artifacts[Input or output],"input")</f>
        <v>3</v>
      </c>
      <c r="F126" t="str">
        <f>VLOOKUP(Artifacts[[#This Row],[SOP]],SOP[#All],3,FALSE)</f>
        <v>Leverans</v>
      </c>
      <c r="G126" t="str">
        <f>VLOOKUP(Artifacts[[#This Row],[SOP]],SOP[#All],2,FALSE)</f>
        <v>Backlog refinement</v>
      </c>
    </row>
    <row r="127" spans="1:7" hidden="1" x14ac:dyDescent="0.2">
      <c r="A127" t="s">
        <v>76</v>
      </c>
      <c r="B127" t="s">
        <v>73</v>
      </c>
      <c r="C127" t="s">
        <v>8</v>
      </c>
      <c r="D127" t="s">
        <v>9</v>
      </c>
      <c r="E127">
        <f>COUNTIFS(Artifacts[SOP],B126,Artifacts[Input or output],"input")</f>
        <v>3</v>
      </c>
      <c r="F127" t="str">
        <f>VLOOKUP(Artifacts[[#This Row],[SOP]],SOP[#All],3,FALSE)</f>
        <v>Leverans</v>
      </c>
      <c r="G127" t="str">
        <f>VLOOKUP(Artifacts[[#This Row],[SOP]],SOP[#All],2,FALSE)</f>
        <v>Backlog refinement</v>
      </c>
    </row>
    <row r="128" spans="1:7" hidden="1" x14ac:dyDescent="0.2">
      <c r="A128" t="s">
        <v>76</v>
      </c>
      <c r="B128" t="s">
        <v>77</v>
      </c>
      <c r="C128" t="s">
        <v>6</v>
      </c>
      <c r="D128" t="s">
        <v>186</v>
      </c>
      <c r="E128">
        <f>COUNTIFS(Artifacts[SOP],B127,Artifacts[Input or output],"input")</f>
        <v>3</v>
      </c>
      <c r="F128" t="str">
        <f>VLOOKUP(Artifacts[[#This Row],[SOP]],SOP[#All],3,FALSE)</f>
        <v>Leverans</v>
      </c>
      <c r="G128" t="str">
        <f>VLOOKUP(Artifacts[[#This Row],[SOP]],SOP[#All],2,FALSE)</f>
        <v>Sprintplanering</v>
      </c>
    </row>
    <row r="129" spans="1:7" hidden="1" x14ac:dyDescent="0.2">
      <c r="A129" t="s">
        <v>78</v>
      </c>
      <c r="B129" t="s">
        <v>77</v>
      </c>
      <c r="C129" t="s">
        <v>6</v>
      </c>
      <c r="D129" t="s">
        <v>186</v>
      </c>
      <c r="E129">
        <f>COUNTIFS(Artifacts[SOP],B128,Artifacts[Input or output],"input")</f>
        <v>3</v>
      </c>
      <c r="F129" t="str">
        <f>VLOOKUP(Artifacts[[#This Row],[SOP]],SOP[#All],3,FALSE)</f>
        <v>Leverans</v>
      </c>
      <c r="G129" t="str">
        <f>VLOOKUP(Artifacts[[#This Row],[SOP]],SOP[#All],2,FALSE)</f>
        <v>Sprintplanering</v>
      </c>
    </row>
    <row r="130" spans="1:7" hidden="1" x14ac:dyDescent="0.2">
      <c r="A130" t="s">
        <v>31</v>
      </c>
      <c r="B130" t="s">
        <v>77</v>
      </c>
      <c r="C130" t="s">
        <v>6</v>
      </c>
      <c r="D130" t="s">
        <v>186</v>
      </c>
      <c r="E130">
        <f>COUNTIFS(Artifacts[SOP],B129,Artifacts[Input or output],"input")</f>
        <v>3</v>
      </c>
      <c r="F130" t="str">
        <f>VLOOKUP(Artifacts[[#This Row],[SOP]],SOP[#All],3,FALSE)</f>
        <v>Leverans</v>
      </c>
      <c r="G130" t="str">
        <f>VLOOKUP(Artifacts[[#This Row],[SOP]],SOP[#All],2,FALSE)</f>
        <v>Sprintplanering</v>
      </c>
    </row>
    <row r="131" spans="1:7" hidden="1" x14ac:dyDescent="0.2">
      <c r="A131" t="s">
        <v>79</v>
      </c>
      <c r="B131" t="s">
        <v>77</v>
      </c>
      <c r="C131" t="s">
        <v>8</v>
      </c>
      <c r="D131" t="s">
        <v>80</v>
      </c>
      <c r="E131">
        <f>COUNTIFS(Artifacts[SOP],B130,Artifacts[Input or output],"input")</f>
        <v>3</v>
      </c>
      <c r="F131" t="str">
        <f>VLOOKUP(Artifacts[[#This Row],[SOP]],SOP[#All],3,FALSE)</f>
        <v>Leverans</v>
      </c>
      <c r="G131" t="str">
        <f>VLOOKUP(Artifacts[[#This Row],[SOP]],SOP[#All],2,FALSE)</f>
        <v>Sprintplanering</v>
      </c>
    </row>
    <row r="132" spans="1:7" hidden="1" x14ac:dyDescent="0.2">
      <c r="A132" t="s">
        <v>81</v>
      </c>
      <c r="B132" t="s">
        <v>77</v>
      </c>
      <c r="C132" t="s">
        <v>8</v>
      </c>
      <c r="D132" t="s">
        <v>80</v>
      </c>
      <c r="E132">
        <f>COUNTIFS(Artifacts[SOP],B131,Artifacts[Input or output],"input")</f>
        <v>3</v>
      </c>
      <c r="F132" t="str">
        <f>VLOOKUP(Artifacts[[#This Row],[SOP]],SOP[#All],3,FALSE)</f>
        <v>Leverans</v>
      </c>
      <c r="G132" t="str">
        <f>VLOOKUP(Artifacts[[#This Row],[SOP]],SOP[#All],2,FALSE)</f>
        <v>Sprintplanering</v>
      </c>
    </row>
    <row r="133" spans="1:7" hidden="1" x14ac:dyDescent="0.2">
      <c r="A133" t="s">
        <v>81</v>
      </c>
      <c r="B133" t="s">
        <v>82</v>
      </c>
      <c r="C133" t="s">
        <v>6</v>
      </c>
      <c r="D133" t="s">
        <v>186</v>
      </c>
      <c r="E133">
        <f>COUNTIFS(Artifacts[SOP],B132,Artifacts[Input or output],"input")</f>
        <v>3</v>
      </c>
      <c r="F133" t="str">
        <f>VLOOKUP(Artifacts[[#This Row],[SOP]],SOP[#All],3,FALSE)</f>
        <v>Leverans</v>
      </c>
      <c r="G133" t="str">
        <f>VLOOKUP(Artifacts[[#This Row],[SOP]],SOP[#All],2,FALSE)</f>
        <v>Utveckling</v>
      </c>
    </row>
    <row r="134" spans="1:7" hidden="1" x14ac:dyDescent="0.2">
      <c r="A134" t="s">
        <v>38</v>
      </c>
      <c r="B134" t="s">
        <v>82</v>
      </c>
      <c r="C134" t="s">
        <v>6</v>
      </c>
      <c r="D134" t="s">
        <v>186</v>
      </c>
      <c r="E134">
        <f>COUNTIFS(Artifacts[SOP],B133,Artifacts[Input or output],"input")</f>
        <v>3</v>
      </c>
      <c r="F134" t="str">
        <f>VLOOKUP(Artifacts[[#This Row],[SOP]],SOP[#All],3,FALSE)</f>
        <v>Leverans</v>
      </c>
      <c r="G134" t="str">
        <f>VLOOKUP(Artifacts[[#This Row],[SOP]],SOP[#All],2,FALSE)</f>
        <v>Utveckling</v>
      </c>
    </row>
    <row r="135" spans="1:7" hidden="1" x14ac:dyDescent="0.2">
      <c r="A135" t="s">
        <v>38</v>
      </c>
      <c r="B135" t="s">
        <v>82</v>
      </c>
      <c r="C135" t="s">
        <v>6</v>
      </c>
      <c r="D135" t="s">
        <v>186</v>
      </c>
      <c r="E135">
        <f>COUNTIFS(Artifacts[SOP],B134,Artifacts[Input or output],"input")</f>
        <v>3</v>
      </c>
      <c r="F135" t="str">
        <f>VLOOKUP(Artifacts[[#This Row],[SOP]],SOP[#All],3,FALSE)</f>
        <v>Leverans</v>
      </c>
      <c r="G135" t="str">
        <f>VLOOKUP(Artifacts[[#This Row],[SOP]],SOP[#All],2,FALSE)</f>
        <v>Utveckling</v>
      </c>
    </row>
    <row r="136" spans="1:7" hidden="1" x14ac:dyDescent="0.2">
      <c r="A136" t="s">
        <v>83</v>
      </c>
      <c r="B136" t="s">
        <v>82</v>
      </c>
      <c r="C136" t="s">
        <v>8</v>
      </c>
      <c r="D136" t="s">
        <v>84</v>
      </c>
      <c r="E136">
        <f>COUNTIFS(Artifacts[SOP],B135,Artifacts[Input or output],"input")</f>
        <v>3</v>
      </c>
      <c r="F136" t="str">
        <f>VLOOKUP(Artifacts[[#This Row],[SOP]],SOP[#All],3,FALSE)</f>
        <v>Leverans</v>
      </c>
      <c r="G136" t="str">
        <f>VLOOKUP(Artifacts[[#This Row],[SOP]],SOP[#All],2,FALSE)</f>
        <v>Utveckling</v>
      </c>
    </row>
    <row r="137" spans="1:7" hidden="1" x14ac:dyDescent="0.2">
      <c r="A137" t="s">
        <v>85</v>
      </c>
      <c r="B137" t="s">
        <v>82</v>
      </c>
      <c r="C137" t="s">
        <v>8</v>
      </c>
      <c r="D137" t="s">
        <v>84</v>
      </c>
      <c r="E137">
        <f>COUNTIFS(Artifacts[SOP],B136,Artifacts[Input or output],"input")</f>
        <v>3</v>
      </c>
      <c r="F137" t="str">
        <f>VLOOKUP(Artifacts[[#This Row],[SOP]],SOP[#All],3,FALSE)</f>
        <v>Leverans</v>
      </c>
      <c r="G137" t="str">
        <f>VLOOKUP(Artifacts[[#This Row],[SOP]],SOP[#All],2,FALSE)</f>
        <v>Utveckling</v>
      </c>
    </row>
    <row r="138" spans="1:7" hidden="1" x14ac:dyDescent="0.2">
      <c r="A138" t="s">
        <v>85</v>
      </c>
      <c r="B138" t="s">
        <v>86</v>
      </c>
      <c r="C138" t="s">
        <v>6</v>
      </c>
      <c r="D138" t="s">
        <v>186</v>
      </c>
      <c r="E138">
        <f>COUNTIFS(Artifacts[SOP],B137,Artifacts[Input or output],"input")</f>
        <v>3</v>
      </c>
      <c r="F138" t="str">
        <f>VLOOKUP(Artifacts[[#This Row],[SOP]],SOP[#All],3,FALSE)</f>
        <v>Leverans</v>
      </c>
      <c r="G138" t="str">
        <f>VLOOKUP(Artifacts[[#This Row],[SOP]],SOP[#All],2,FALSE)</f>
        <v>Kodgranskning</v>
      </c>
    </row>
    <row r="139" spans="1:7" hidden="1" x14ac:dyDescent="0.2">
      <c r="A139" t="s">
        <v>38</v>
      </c>
      <c r="B139" t="s">
        <v>86</v>
      </c>
      <c r="C139" t="s">
        <v>6</v>
      </c>
      <c r="D139" t="s">
        <v>186</v>
      </c>
      <c r="E139">
        <f>COUNTIFS(Artifacts[SOP],B138,Artifacts[Input or output],"input")</f>
        <v>3</v>
      </c>
      <c r="F139" t="str">
        <f>VLOOKUP(Artifacts[[#This Row],[SOP]],SOP[#All],3,FALSE)</f>
        <v>Leverans</v>
      </c>
      <c r="G139" t="str">
        <f>VLOOKUP(Artifacts[[#This Row],[SOP]],SOP[#All],2,FALSE)</f>
        <v>Kodgranskning</v>
      </c>
    </row>
    <row r="140" spans="1:7" hidden="1" x14ac:dyDescent="0.2">
      <c r="A140" t="s">
        <v>38</v>
      </c>
      <c r="B140" t="s">
        <v>86</v>
      </c>
      <c r="C140" t="s">
        <v>6</v>
      </c>
      <c r="D140" t="s">
        <v>186</v>
      </c>
      <c r="E140">
        <f>COUNTIFS(Artifacts[SOP],B139,Artifacts[Input or output],"input")</f>
        <v>3</v>
      </c>
      <c r="F140" t="str">
        <f>VLOOKUP(Artifacts[[#This Row],[SOP]],SOP[#All],3,FALSE)</f>
        <v>Leverans</v>
      </c>
      <c r="G140" t="str">
        <f>VLOOKUP(Artifacts[[#This Row],[SOP]],SOP[#All],2,FALSE)</f>
        <v>Kodgranskning</v>
      </c>
    </row>
    <row r="141" spans="1:7" hidden="1" x14ac:dyDescent="0.2">
      <c r="A141" t="s">
        <v>87</v>
      </c>
      <c r="B141" t="s">
        <v>86</v>
      </c>
      <c r="C141" t="s">
        <v>8</v>
      </c>
      <c r="D141" t="s">
        <v>84</v>
      </c>
      <c r="E141">
        <f>COUNTIFS(Artifacts[SOP],B140,Artifacts[Input or output],"input")</f>
        <v>3</v>
      </c>
      <c r="F141" t="str">
        <f>VLOOKUP(Artifacts[[#This Row],[SOP]],SOP[#All],3,FALSE)</f>
        <v>Leverans</v>
      </c>
      <c r="G141" t="str">
        <f>VLOOKUP(Artifacts[[#This Row],[SOP]],SOP[#All],2,FALSE)</f>
        <v>Kodgranskning</v>
      </c>
    </row>
    <row r="142" spans="1:7" hidden="1" x14ac:dyDescent="0.2">
      <c r="A142" t="s">
        <v>88</v>
      </c>
      <c r="B142" t="s">
        <v>86</v>
      </c>
      <c r="C142" t="s">
        <v>8</v>
      </c>
      <c r="D142" t="s">
        <v>84</v>
      </c>
      <c r="E142">
        <f>COUNTIFS(Artifacts[SOP],B141,Artifacts[Input or output],"input")</f>
        <v>3</v>
      </c>
      <c r="F142" t="str">
        <f>VLOOKUP(Artifacts[[#This Row],[SOP]],SOP[#All],3,FALSE)</f>
        <v>Leverans</v>
      </c>
      <c r="G142" t="str">
        <f>VLOOKUP(Artifacts[[#This Row],[SOP]],SOP[#All],2,FALSE)</f>
        <v>Kodgranskning</v>
      </c>
    </row>
    <row r="143" spans="1:7" hidden="1" x14ac:dyDescent="0.2">
      <c r="A143" t="s">
        <v>87</v>
      </c>
      <c r="B143" t="s">
        <v>89</v>
      </c>
      <c r="C143" t="s">
        <v>6</v>
      </c>
      <c r="D143" t="s">
        <v>186</v>
      </c>
      <c r="E143">
        <f>COUNTIFS(Artifacts[SOP],B142,Artifacts[Input or output],"input")</f>
        <v>3</v>
      </c>
      <c r="F143" t="str">
        <f>VLOOKUP(Artifacts[[#This Row],[SOP]],SOP[#All],3,FALSE)</f>
        <v>Leverans</v>
      </c>
      <c r="G143" t="str">
        <f>VLOOKUP(Artifacts[[#This Row],[SOP]],SOP[#All],2,FALSE)</f>
        <v>Test</v>
      </c>
    </row>
    <row r="144" spans="1:7" hidden="1" x14ac:dyDescent="0.2">
      <c r="A144" t="s">
        <v>18</v>
      </c>
      <c r="B144" t="s">
        <v>89</v>
      </c>
      <c r="C144" t="s">
        <v>6</v>
      </c>
      <c r="D144" t="s">
        <v>186</v>
      </c>
      <c r="E144">
        <f>COUNTIFS(Artifacts[SOP],B143,Artifacts[Input or output],"input")</f>
        <v>3</v>
      </c>
      <c r="F144" t="str">
        <f>VLOOKUP(Artifacts[[#This Row],[SOP]],SOP[#All],3,FALSE)</f>
        <v>Leverans</v>
      </c>
      <c r="G144" t="str">
        <f>VLOOKUP(Artifacts[[#This Row],[SOP]],SOP[#All],2,FALSE)</f>
        <v>Test</v>
      </c>
    </row>
    <row r="145" spans="1:7" hidden="1" x14ac:dyDescent="0.2">
      <c r="A145" t="s">
        <v>90</v>
      </c>
      <c r="B145" t="s">
        <v>89</v>
      </c>
      <c r="C145" t="s">
        <v>6</v>
      </c>
      <c r="D145" t="s">
        <v>186</v>
      </c>
      <c r="E145">
        <f>COUNTIFS(Artifacts[SOP],B144,Artifacts[Input or output],"input")</f>
        <v>3</v>
      </c>
      <c r="F145" t="str">
        <f>VLOOKUP(Artifacts[[#This Row],[SOP]],SOP[#All],3,FALSE)</f>
        <v>Leverans</v>
      </c>
      <c r="G145" t="str">
        <f>VLOOKUP(Artifacts[[#This Row],[SOP]],SOP[#All],2,FALSE)</f>
        <v>Test</v>
      </c>
    </row>
    <row r="146" spans="1:7" hidden="1" x14ac:dyDescent="0.2">
      <c r="A146" t="s">
        <v>91</v>
      </c>
      <c r="B146" t="s">
        <v>89</v>
      </c>
      <c r="C146" t="s">
        <v>8</v>
      </c>
      <c r="D146" t="s">
        <v>92</v>
      </c>
      <c r="E146">
        <f>COUNTIFS(Artifacts[SOP],B145,Artifacts[Input or output],"input")</f>
        <v>3</v>
      </c>
      <c r="F146" t="str">
        <f>VLOOKUP(Artifacts[[#This Row],[SOP]],SOP[#All],3,FALSE)</f>
        <v>Leverans</v>
      </c>
      <c r="G146" t="str">
        <f>VLOOKUP(Artifacts[[#This Row],[SOP]],SOP[#All],2,FALSE)</f>
        <v>Test</v>
      </c>
    </row>
    <row r="147" spans="1:7" hidden="1" x14ac:dyDescent="0.2">
      <c r="A147" t="s">
        <v>87</v>
      </c>
      <c r="B147" t="s">
        <v>89</v>
      </c>
      <c r="C147" t="s">
        <v>8</v>
      </c>
      <c r="D147" t="s">
        <v>92</v>
      </c>
      <c r="E147">
        <f>COUNTIFS(Artifacts[SOP],B146,Artifacts[Input or output],"input")</f>
        <v>3</v>
      </c>
      <c r="F147" t="str">
        <f>VLOOKUP(Artifacts[[#This Row],[SOP]],SOP[#All],3,FALSE)</f>
        <v>Leverans</v>
      </c>
      <c r="G147" t="str">
        <f>VLOOKUP(Artifacts[[#This Row],[SOP]],SOP[#All],2,FALSE)</f>
        <v>Test</v>
      </c>
    </row>
    <row r="148" spans="1:7" hidden="1" x14ac:dyDescent="0.2">
      <c r="A148" t="s">
        <v>87</v>
      </c>
      <c r="B148" t="s">
        <v>93</v>
      </c>
      <c r="C148" t="s">
        <v>6</v>
      </c>
      <c r="D148" t="s">
        <v>186</v>
      </c>
      <c r="E148">
        <f>COUNTIFS(Artifacts[SOP],B147,Artifacts[Input or output],"input")</f>
        <v>3</v>
      </c>
      <c r="F148" t="str">
        <f>VLOOKUP(Artifacts[[#This Row],[SOP]],SOP[#All],3,FALSE)</f>
        <v>Leverans</v>
      </c>
      <c r="G148" t="str">
        <f>VLOOKUP(Artifacts[[#This Row],[SOP]],SOP[#All],2,FALSE)</f>
        <v>Integration &amp; bygg (CI/CD)</v>
      </c>
    </row>
    <row r="149" spans="1:7" hidden="1" x14ac:dyDescent="0.2">
      <c r="A149" t="s">
        <v>94</v>
      </c>
      <c r="B149" t="s">
        <v>93</v>
      </c>
      <c r="C149" t="s">
        <v>6</v>
      </c>
      <c r="D149" t="s">
        <v>186</v>
      </c>
      <c r="E149">
        <f>COUNTIFS(Artifacts[SOP],B148,Artifacts[Input or output],"input")</f>
        <v>3</v>
      </c>
      <c r="F149" t="str">
        <f>VLOOKUP(Artifacts[[#This Row],[SOP]],SOP[#All],3,FALSE)</f>
        <v>Leverans</v>
      </c>
      <c r="G149" t="str">
        <f>VLOOKUP(Artifacts[[#This Row],[SOP]],SOP[#All],2,FALSE)</f>
        <v>Integration &amp; bygg (CI/CD)</v>
      </c>
    </row>
    <row r="150" spans="1:7" hidden="1" x14ac:dyDescent="0.2">
      <c r="A150" t="s">
        <v>95</v>
      </c>
      <c r="B150" t="s">
        <v>93</v>
      </c>
      <c r="C150" t="s">
        <v>6</v>
      </c>
      <c r="D150" t="s">
        <v>186</v>
      </c>
      <c r="E150">
        <f>COUNTIFS(Artifacts[SOP],B149,Artifacts[Input or output],"input")</f>
        <v>3</v>
      </c>
      <c r="F150" t="str">
        <f>VLOOKUP(Artifacts[[#This Row],[SOP]],SOP[#All],3,FALSE)</f>
        <v>Leverans</v>
      </c>
      <c r="G150" t="str">
        <f>VLOOKUP(Artifacts[[#This Row],[SOP]],SOP[#All],2,FALSE)</f>
        <v>Integration &amp; bygg (CI/CD)</v>
      </c>
    </row>
    <row r="151" spans="1:7" hidden="1" x14ac:dyDescent="0.2">
      <c r="A151" t="s">
        <v>83</v>
      </c>
      <c r="B151" t="s">
        <v>93</v>
      </c>
      <c r="C151" t="s">
        <v>8</v>
      </c>
      <c r="D151" t="s">
        <v>96</v>
      </c>
      <c r="E151">
        <f>COUNTIFS(Artifacts[SOP],B150,Artifacts[Input or output],"input")</f>
        <v>3</v>
      </c>
      <c r="F151" t="str">
        <f>VLOOKUP(Artifacts[[#This Row],[SOP]],SOP[#All],3,FALSE)</f>
        <v>Leverans</v>
      </c>
      <c r="G151" t="str">
        <f>VLOOKUP(Artifacts[[#This Row],[SOP]],SOP[#All],2,FALSE)</f>
        <v>Integration &amp; bygg (CI/CD)</v>
      </c>
    </row>
    <row r="152" spans="1:7" hidden="1" x14ac:dyDescent="0.2">
      <c r="A152" t="s">
        <v>97</v>
      </c>
      <c r="B152" t="s">
        <v>93</v>
      </c>
      <c r="C152" t="s">
        <v>8</v>
      </c>
      <c r="D152" t="s">
        <v>96</v>
      </c>
      <c r="E152">
        <f>COUNTIFS(Artifacts[SOP],B151,Artifacts[Input or output],"input")</f>
        <v>3</v>
      </c>
      <c r="F152" t="str">
        <f>VLOOKUP(Artifacts[[#This Row],[SOP]],SOP[#All],3,FALSE)</f>
        <v>Leverans</v>
      </c>
      <c r="G152" t="str">
        <f>VLOOKUP(Artifacts[[#This Row],[SOP]],SOP[#All],2,FALSE)</f>
        <v>Integration &amp; bygg (CI/CD)</v>
      </c>
    </row>
    <row r="153" spans="1:7" hidden="1" x14ac:dyDescent="0.2">
      <c r="A153" t="s">
        <v>83</v>
      </c>
      <c r="B153" t="s">
        <v>98</v>
      </c>
      <c r="C153" t="s">
        <v>6</v>
      </c>
      <c r="D153" t="s">
        <v>186</v>
      </c>
      <c r="E153">
        <f>COUNTIFS(Artifacts[SOP],B152,Artifacts[Input or output],"input")</f>
        <v>3</v>
      </c>
      <c r="F153" t="str">
        <f>VLOOKUP(Artifacts[[#This Row],[SOP]],SOP[#All],3,FALSE)</f>
        <v>Leverans</v>
      </c>
      <c r="G153" t="str">
        <f>VLOOKUP(Artifacts[[#This Row],[SOP]],SOP[#All],2,FALSE)</f>
        <v>Demo</v>
      </c>
    </row>
    <row r="154" spans="1:7" hidden="1" x14ac:dyDescent="0.2">
      <c r="A154" t="s">
        <v>79</v>
      </c>
      <c r="B154" t="s">
        <v>98</v>
      </c>
      <c r="C154" t="s">
        <v>6</v>
      </c>
      <c r="D154" t="s">
        <v>186</v>
      </c>
      <c r="E154">
        <f>COUNTIFS(Artifacts[SOP],B153,Artifacts[Input or output],"input")</f>
        <v>2</v>
      </c>
      <c r="F154" t="str">
        <f>VLOOKUP(Artifacts[[#This Row],[SOP]],SOP[#All],3,FALSE)</f>
        <v>Leverans</v>
      </c>
      <c r="G154" t="str">
        <f>VLOOKUP(Artifacts[[#This Row],[SOP]],SOP[#All],2,FALSE)</f>
        <v>Demo</v>
      </c>
    </row>
    <row r="155" spans="1:7" hidden="1" x14ac:dyDescent="0.2">
      <c r="A155" t="s">
        <v>74</v>
      </c>
      <c r="B155" t="s">
        <v>98</v>
      </c>
      <c r="C155" t="s">
        <v>8</v>
      </c>
      <c r="D155" t="s">
        <v>84</v>
      </c>
      <c r="E155">
        <f>COUNTIFS(Artifacts[SOP],B154,Artifacts[Input or output],"input")</f>
        <v>2</v>
      </c>
      <c r="F155" t="str">
        <f>VLOOKUP(Artifacts[[#This Row],[SOP]],SOP[#All],3,FALSE)</f>
        <v>Leverans</v>
      </c>
      <c r="G155" t="str">
        <f>VLOOKUP(Artifacts[[#This Row],[SOP]],SOP[#All],2,FALSE)</f>
        <v>Demo</v>
      </c>
    </row>
    <row r="156" spans="1:7" hidden="1" x14ac:dyDescent="0.2">
      <c r="A156" t="s">
        <v>87</v>
      </c>
      <c r="B156" t="s">
        <v>98</v>
      </c>
      <c r="C156" t="s">
        <v>8</v>
      </c>
      <c r="D156" t="s">
        <v>84</v>
      </c>
      <c r="E156">
        <f>COUNTIFS(Artifacts[SOP],B155,Artifacts[Input or output],"input")</f>
        <v>2</v>
      </c>
      <c r="F156" t="str">
        <f>VLOOKUP(Artifacts[[#This Row],[SOP]],SOP[#All],3,FALSE)</f>
        <v>Leverans</v>
      </c>
      <c r="G156" t="str">
        <f>VLOOKUP(Artifacts[[#This Row],[SOP]],SOP[#All],2,FALSE)</f>
        <v>Demo</v>
      </c>
    </row>
    <row r="157" spans="1:7" hidden="1" x14ac:dyDescent="0.2">
      <c r="A157" t="s">
        <v>87</v>
      </c>
      <c r="B157" t="s">
        <v>99</v>
      </c>
      <c r="C157" t="s">
        <v>6</v>
      </c>
      <c r="D157" t="s">
        <v>186</v>
      </c>
      <c r="E157">
        <f>COUNTIFS(Artifacts[SOP],B156,Artifacts[Input or output],"input")</f>
        <v>2</v>
      </c>
      <c r="F157" t="str">
        <f>VLOOKUP(Artifacts[[#This Row],[SOP]],SOP[#All],3,FALSE)</f>
        <v>Leverans</v>
      </c>
      <c r="G157" t="str">
        <f>VLOOKUP(Artifacts[[#This Row],[SOP]],SOP[#All],2,FALSE)</f>
        <v>Release</v>
      </c>
    </row>
    <row r="158" spans="1:7" hidden="1" x14ac:dyDescent="0.2">
      <c r="A158" t="s">
        <v>64</v>
      </c>
      <c r="B158" t="s">
        <v>99</v>
      </c>
      <c r="C158" t="s">
        <v>6</v>
      </c>
      <c r="D158" t="s">
        <v>186</v>
      </c>
      <c r="E158">
        <f>COUNTIFS(Artifacts[SOP],B157,Artifacts[Input or output],"input")</f>
        <v>2</v>
      </c>
      <c r="F158" t="str">
        <f>VLOOKUP(Artifacts[[#This Row],[SOP]],SOP[#All],3,FALSE)</f>
        <v>Leverans</v>
      </c>
      <c r="G158" t="str">
        <f>VLOOKUP(Artifacts[[#This Row],[SOP]],SOP[#All],2,FALSE)</f>
        <v>Release</v>
      </c>
    </row>
    <row r="159" spans="1:7" hidden="1" x14ac:dyDescent="0.2">
      <c r="A159" t="s">
        <v>64</v>
      </c>
      <c r="B159" t="s">
        <v>99</v>
      </c>
      <c r="C159" t="s">
        <v>8</v>
      </c>
      <c r="D159" t="s">
        <v>96</v>
      </c>
      <c r="E159">
        <f>COUNTIFS(Artifacts[SOP],B158,Artifacts[Input or output],"input")</f>
        <v>2</v>
      </c>
      <c r="F159" t="str">
        <f>VLOOKUP(Artifacts[[#This Row],[SOP]],SOP[#All],3,FALSE)</f>
        <v>Leverans</v>
      </c>
      <c r="G159" t="str">
        <f>VLOOKUP(Artifacts[[#This Row],[SOP]],SOP[#All],2,FALSE)</f>
        <v>Release</v>
      </c>
    </row>
    <row r="160" spans="1:7" hidden="1" x14ac:dyDescent="0.2">
      <c r="A160" t="s">
        <v>100</v>
      </c>
      <c r="B160" t="s">
        <v>99</v>
      </c>
      <c r="C160" t="s">
        <v>8</v>
      </c>
      <c r="D160" t="s">
        <v>96</v>
      </c>
      <c r="E160">
        <f>COUNTIFS(Artifacts[SOP],B159,Artifacts[Input or output],"input")</f>
        <v>2</v>
      </c>
      <c r="F160" t="str">
        <f>VLOOKUP(Artifacts[[#This Row],[SOP]],SOP[#All],3,FALSE)</f>
        <v>Leverans</v>
      </c>
      <c r="G160" t="str">
        <f>VLOOKUP(Artifacts[[#This Row],[SOP]],SOP[#All],2,FALSE)</f>
        <v>Release</v>
      </c>
    </row>
    <row r="161" spans="1:7" hidden="1" x14ac:dyDescent="0.2">
      <c r="A161" t="s">
        <v>64</v>
      </c>
      <c r="B161" t="s">
        <v>101</v>
      </c>
      <c r="C161" t="s">
        <v>6</v>
      </c>
      <c r="D161" t="s">
        <v>186</v>
      </c>
      <c r="E161">
        <f>COUNTIFS(Artifacts[SOP],B160,Artifacts[Input or output],"input")</f>
        <v>2</v>
      </c>
      <c r="F161" t="str">
        <f>VLOOKUP(Artifacts[[#This Row],[SOP]],SOP[#All],3,FALSE)</f>
        <v>Leverans</v>
      </c>
      <c r="G161" t="str">
        <f>VLOOKUP(Artifacts[[#This Row],[SOP]],SOP[#All],2,FALSE)</f>
        <v>Deployments</v>
      </c>
    </row>
    <row r="162" spans="1:7" hidden="1" x14ac:dyDescent="0.2">
      <c r="A162" t="s">
        <v>95</v>
      </c>
      <c r="B162" t="s">
        <v>101</v>
      </c>
      <c r="C162" t="s">
        <v>6</v>
      </c>
      <c r="D162" t="s">
        <v>186</v>
      </c>
      <c r="E162">
        <f>COUNTIFS(Artifacts[SOP],B161,Artifacts[Input or output],"input")</f>
        <v>2</v>
      </c>
      <c r="F162" t="str">
        <f>VLOOKUP(Artifacts[[#This Row],[SOP]],SOP[#All],3,FALSE)</f>
        <v>Leverans</v>
      </c>
      <c r="G162" t="str">
        <f>VLOOKUP(Artifacts[[#This Row],[SOP]],SOP[#All],2,FALSE)</f>
        <v>Deployments</v>
      </c>
    </row>
    <row r="163" spans="1:7" hidden="1" x14ac:dyDescent="0.2">
      <c r="A163" t="s">
        <v>83</v>
      </c>
      <c r="B163" t="s">
        <v>101</v>
      </c>
      <c r="C163" t="s">
        <v>8</v>
      </c>
      <c r="D163" t="s">
        <v>96</v>
      </c>
      <c r="E163">
        <f>COUNTIFS(Artifacts[SOP],B162,Artifacts[Input or output],"input")</f>
        <v>2</v>
      </c>
      <c r="F163" t="str">
        <f>VLOOKUP(Artifacts[[#This Row],[SOP]],SOP[#All],3,FALSE)</f>
        <v>Leverans</v>
      </c>
      <c r="G163" t="str">
        <f>VLOOKUP(Artifacts[[#This Row],[SOP]],SOP[#All],2,FALSE)</f>
        <v>Deployments</v>
      </c>
    </row>
    <row r="164" spans="1:7" hidden="1" x14ac:dyDescent="0.2">
      <c r="A164" t="s">
        <v>102</v>
      </c>
      <c r="B164" t="s">
        <v>101</v>
      </c>
      <c r="C164" t="s">
        <v>8</v>
      </c>
      <c r="D164" t="s">
        <v>96</v>
      </c>
      <c r="E164">
        <f>COUNTIFS(Artifacts[SOP],B163,Artifacts[Input or output],"input")</f>
        <v>2</v>
      </c>
      <c r="F164" t="str">
        <f>VLOOKUP(Artifacts[[#This Row],[SOP]],SOP[#All],3,FALSE)</f>
        <v>Leverans</v>
      </c>
      <c r="G164" t="str">
        <f>VLOOKUP(Artifacts[[#This Row],[SOP]],SOP[#All],2,FALSE)</f>
        <v>Deployments</v>
      </c>
    </row>
    <row r="165" spans="1:7" hidden="1" x14ac:dyDescent="0.2">
      <c r="A165" t="s">
        <v>100</v>
      </c>
      <c r="B165" t="s">
        <v>103</v>
      </c>
      <c r="C165" t="s">
        <v>6</v>
      </c>
      <c r="D165" t="s">
        <v>186</v>
      </c>
      <c r="E165">
        <f>COUNTIFS(Artifacts[SOP],B164,Artifacts[Input or output],"input")</f>
        <v>2</v>
      </c>
      <c r="F165" t="str">
        <f>VLOOKUP(Artifacts[[#This Row],[SOP]],SOP[#All],3,FALSE)</f>
        <v>Leverans</v>
      </c>
      <c r="G165" t="str">
        <f>VLOOKUP(Artifacts[[#This Row],[SOP]],SOP[#All],2,FALSE)</f>
        <v>Uppdatera dokumentation</v>
      </c>
    </row>
    <row r="166" spans="1:7" hidden="1" x14ac:dyDescent="0.2">
      <c r="A166" t="s">
        <v>83</v>
      </c>
      <c r="B166" t="s">
        <v>103</v>
      </c>
      <c r="C166" t="s">
        <v>6</v>
      </c>
      <c r="D166" t="s">
        <v>186</v>
      </c>
      <c r="E166">
        <f>COUNTIFS(Artifacts[SOP],B165,Artifacts[Input or output],"input")</f>
        <v>3</v>
      </c>
      <c r="F166" t="str">
        <f>VLOOKUP(Artifacts[[#This Row],[SOP]],SOP[#All],3,FALSE)</f>
        <v>Leverans</v>
      </c>
      <c r="G166" t="str">
        <f>VLOOKUP(Artifacts[[#This Row],[SOP]],SOP[#All],2,FALSE)</f>
        <v>Uppdatera dokumentation</v>
      </c>
    </row>
    <row r="167" spans="1:7" hidden="1" x14ac:dyDescent="0.2">
      <c r="A167" t="s">
        <v>47</v>
      </c>
      <c r="B167" t="s">
        <v>103</v>
      </c>
      <c r="C167" t="s">
        <v>6</v>
      </c>
      <c r="D167" t="s">
        <v>186</v>
      </c>
      <c r="E167">
        <f>COUNTIFS(Artifacts[SOP],B166,Artifacts[Input or output],"input")</f>
        <v>3</v>
      </c>
      <c r="F167" t="str">
        <f>VLOOKUP(Artifacts[[#This Row],[SOP]],SOP[#All],3,FALSE)</f>
        <v>Leverans</v>
      </c>
      <c r="G167" t="str">
        <f>VLOOKUP(Artifacts[[#This Row],[SOP]],SOP[#All],2,FALSE)</f>
        <v>Uppdatera dokumentation</v>
      </c>
    </row>
    <row r="168" spans="1:7" hidden="1" x14ac:dyDescent="0.2">
      <c r="A168" t="s">
        <v>104</v>
      </c>
      <c r="B168" t="s">
        <v>103</v>
      </c>
      <c r="C168" t="s">
        <v>8</v>
      </c>
      <c r="D168" t="s">
        <v>9</v>
      </c>
      <c r="E168">
        <f>COUNTIFS(Artifacts[SOP],B167,Artifacts[Input or output],"input")</f>
        <v>3</v>
      </c>
      <c r="F168" t="str">
        <f>VLOOKUP(Artifacts[[#This Row],[SOP]],SOP[#All],3,FALSE)</f>
        <v>Leverans</v>
      </c>
      <c r="G168" t="str">
        <f>VLOOKUP(Artifacts[[#This Row],[SOP]],SOP[#All],2,FALSE)</f>
        <v>Uppdatera dokumentation</v>
      </c>
    </row>
    <row r="169" spans="1:7" hidden="1" x14ac:dyDescent="0.2">
      <c r="A169" t="s">
        <v>102</v>
      </c>
      <c r="B169" t="s">
        <v>105</v>
      </c>
      <c r="C169" t="s">
        <v>6</v>
      </c>
      <c r="D169" t="s">
        <v>186</v>
      </c>
      <c r="E169">
        <f>COUNTIFS(Artifacts[SOP],B168,Artifacts[Input or output],"input")</f>
        <v>3</v>
      </c>
      <c r="F169" t="str">
        <f>VLOOKUP(Artifacts[[#This Row],[SOP]],SOP[#All],3,FALSE)</f>
        <v>Leverans</v>
      </c>
      <c r="G169" t="str">
        <f>VLOOKUP(Artifacts[[#This Row],[SOP]],SOP[#All],2,FALSE)</f>
        <v>Uppföljning &amp; förbättring</v>
      </c>
    </row>
    <row r="170" spans="1:7" hidden="1" x14ac:dyDescent="0.2">
      <c r="A170" t="s">
        <v>104</v>
      </c>
      <c r="B170" t="s">
        <v>105</v>
      </c>
      <c r="C170" t="s">
        <v>6</v>
      </c>
      <c r="D170" t="s">
        <v>186</v>
      </c>
      <c r="E170">
        <f>COUNTIFS(Artifacts[SOP],B169,Artifacts[Input or output],"input")</f>
        <v>4</v>
      </c>
      <c r="F170" t="str">
        <f>VLOOKUP(Artifacts[[#This Row],[SOP]],SOP[#All],3,FALSE)</f>
        <v>Leverans</v>
      </c>
      <c r="G170" t="str">
        <f>VLOOKUP(Artifacts[[#This Row],[SOP]],SOP[#All],2,FALSE)</f>
        <v>Uppföljning &amp; förbättring</v>
      </c>
    </row>
    <row r="171" spans="1:7" hidden="1" x14ac:dyDescent="0.2">
      <c r="A171" t="s">
        <v>74</v>
      </c>
      <c r="B171" t="s">
        <v>105</v>
      </c>
      <c r="C171" t="s">
        <v>6</v>
      </c>
      <c r="D171" t="s">
        <v>186</v>
      </c>
      <c r="E171">
        <f>COUNTIFS(Artifacts[SOP],B170,Artifacts[Input or output],"input")</f>
        <v>4</v>
      </c>
      <c r="F171" t="str">
        <f>VLOOKUP(Artifacts[[#This Row],[SOP]],SOP[#All],3,FALSE)</f>
        <v>Leverans</v>
      </c>
      <c r="G171" t="str">
        <f>VLOOKUP(Artifacts[[#This Row],[SOP]],SOP[#All],2,FALSE)</f>
        <v>Uppföljning &amp; förbättring</v>
      </c>
    </row>
    <row r="172" spans="1:7" hidden="1" x14ac:dyDescent="0.2">
      <c r="A172" t="s">
        <v>83</v>
      </c>
      <c r="B172" t="s">
        <v>105</v>
      </c>
      <c r="C172" t="s">
        <v>6</v>
      </c>
      <c r="D172" t="s">
        <v>186</v>
      </c>
      <c r="E172">
        <f>COUNTIFS(Artifacts[SOP],B171,Artifacts[Input or output],"input")</f>
        <v>4</v>
      </c>
      <c r="F172" t="str">
        <f>VLOOKUP(Artifacts[[#This Row],[SOP]],SOP[#All],3,FALSE)</f>
        <v>Leverans</v>
      </c>
      <c r="G172" t="str">
        <f>VLOOKUP(Artifacts[[#This Row],[SOP]],SOP[#All],2,FALSE)</f>
        <v>Uppföljning &amp; förbättring</v>
      </c>
    </row>
    <row r="173" spans="1:7" hidden="1" x14ac:dyDescent="0.2">
      <c r="A173" t="s">
        <v>106</v>
      </c>
      <c r="B173" t="s">
        <v>105</v>
      </c>
      <c r="C173" t="s">
        <v>8</v>
      </c>
      <c r="D173" t="s">
        <v>80</v>
      </c>
      <c r="E173">
        <f>COUNTIFS(Artifacts[SOP],B172,Artifacts[Input or output],"input")</f>
        <v>4</v>
      </c>
      <c r="F173" t="str">
        <f>VLOOKUP(Artifacts[[#This Row],[SOP]],SOP[#All],3,FALSE)</f>
        <v>Leverans</v>
      </c>
      <c r="G173" t="str">
        <f>VLOOKUP(Artifacts[[#This Row],[SOP]],SOP[#All],2,FALSE)</f>
        <v>Uppföljning &amp; förbättring</v>
      </c>
    </row>
    <row r="174" spans="1:7" hidden="1" x14ac:dyDescent="0.2">
      <c r="A174" t="s">
        <v>107</v>
      </c>
      <c r="B174" t="s">
        <v>105</v>
      </c>
      <c r="C174" t="s">
        <v>8</v>
      </c>
      <c r="D174" t="s">
        <v>80</v>
      </c>
      <c r="E174">
        <f>COUNTIFS(Artifacts[SOP],B173,Artifacts[Input or output],"input")</f>
        <v>4</v>
      </c>
      <c r="F174" t="str">
        <f>VLOOKUP(Artifacts[[#This Row],[SOP]],SOP[#All],3,FALSE)</f>
        <v>Leverans</v>
      </c>
      <c r="G174" t="str">
        <f>VLOOKUP(Artifacts[[#This Row],[SOP]],SOP[#All],2,FALSE)</f>
        <v>Uppföljning &amp; förbättring</v>
      </c>
    </row>
    <row r="175" spans="1:7" hidden="1" x14ac:dyDescent="0.2">
      <c r="A175" t="s">
        <v>83</v>
      </c>
      <c r="B175" t="s">
        <v>108</v>
      </c>
      <c r="C175" t="s">
        <v>6</v>
      </c>
      <c r="D175" t="s">
        <v>186</v>
      </c>
      <c r="E175">
        <f>COUNTIFS(Artifacts[SOP],B174,Artifacts[Input or output],"input")</f>
        <v>4</v>
      </c>
      <c r="F175" t="str">
        <f>VLOOKUP(Artifacts[[#This Row],[SOP]],SOP[#All],3,FALSE)</f>
        <v>Repeat</v>
      </c>
      <c r="G175" t="str">
        <f>VLOOKUP(Artifacts[[#This Row],[SOP]],SOP[#All],2,FALSE)</f>
        <v>Utvärdera leveransresultat</v>
      </c>
    </row>
    <row r="176" spans="1:7" hidden="1" x14ac:dyDescent="0.2">
      <c r="A176" t="s">
        <v>74</v>
      </c>
      <c r="B176" t="s">
        <v>108</v>
      </c>
      <c r="C176" t="s">
        <v>6</v>
      </c>
      <c r="D176" t="s">
        <v>186</v>
      </c>
      <c r="E176">
        <f>COUNTIFS(Artifacts[SOP],B175,Artifacts[Input or output],"input")</f>
        <v>4</v>
      </c>
      <c r="F176" t="str">
        <f>VLOOKUP(Artifacts[[#This Row],[SOP]],SOP[#All],3,FALSE)</f>
        <v>Repeat</v>
      </c>
      <c r="G176" t="str">
        <f>VLOOKUP(Artifacts[[#This Row],[SOP]],SOP[#All],2,FALSE)</f>
        <v>Utvärdera leveransresultat</v>
      </c>
    </row>
    <row r="177" spans="1:7" hidden="1" x14ac:dyDescent="0.2">
      <c r="A177" t="s">
        <v>100</v>
      </c>
      <c r="B177" t="s">
        <v>108</v>
      </c>
      <c r="C177" t="s">
        <v>6</v>
      </c>
      <c r="D177" t="s">
        <v>186</v>
      </c>
      <c r="E177">
        <f>COUNTIFS(Artifacts[SOP],B176,Artifacts[Input or output],"input")</f>
        <v>4</v>
      </c>
      <c r="F177" t="str">
        <f>VLOOKUP(Artifacts[[#This Row],[SOP]],SOP[#All],3,FALSE)</f>
        <v>Repeat</v>
      </c>
      <c r="G177" t="str">
        <f>VLOOKUP(Artifacts[[#This Row],[SOP]],SOP[#All],2,FALSE)</f>
        <v>Utvärdera leveransresultat</v>
      </c>
    </row>
    <row r="178" spans="1:7" hidden="1" x14ac:dyDescent="0.2">
      <c r="A178" t="s">
        <v>33</v>
      </c>
      <c r="B178" t="s">
        <v>108</v>
      </c>
      <c r="C178" t="s">
        <v>6</v>
      </c>
      <c r="D178" t="s">
        <v>186</v>
      </c>
      <c r="E178">
        <f>COUNTIFS(Artifacts[SOP],B177,Artifacts[Input or output],"input")</f>
        <v>4</v>
      </c>
      <c r="F178" t="str">
        <f>VLOOKUP(Artifacts[[#This Row],[SOP]],SOP[#All],3,FALSE)</f>
        <v>Repeat</v>
      </c>
      <c r="G178" t="str">
        <f>VLOOKUP(Artifacts[[#This Row],[SOP]],SOP[#All],2,FALSE)</f>
        <v>Utvärdera leveransresultat</v>
      </c>
    </row>
    <row r="179" spans="1:7" hidden="1" x14ac:dyDescent="0.2">
      <c r="A179" t="s">
        <v>109</v>
      </c>
      <c r="B179" t="s">
        <v>108</v>
      </c>
      <c r="C179" t="s">
        <v>8</v>
      </c>
      <c r="D179" t="s">
        <v>9</v>
      </c>
      <c r="E179">
        <f>COUNTIFS(Artifacts[SOP],B178,Artifacts[Input or output],"input")</f>
        <v>4</v>
      </c>
      <c r="F179" t="str">
        <f>VLOOKUP(Artifacts[[#This Row],[SOP]],SOP[#All],3,FALSE)</f>
        <v>Repeat</v>
      </c>
      <c r="G179" t="str">
        <f>VLOOKUP(Artifacts[[#This Row],[SOP]],SOP[#All],2,FALSE)</f>
        <v>Utvärdera leveransresultat</v>
      </c>
    </row>
    <row r="180" spans="1:7" hidden="1" x14ac:dyDescent="0.2">
      <c r="A180" t="s">
        <v>110</v>
      </c>
      <c r="B180" t="s">
        <v>108</v>
      </c>
      <c r="C180" t="s">
        <v>8</v>
      </c>
      <c r="D180" t="s">
        <v>9</v>
      </c>
      <c r="E180">
        <f>COUNTIFS(Artifacts[SOP],B179,Artifacts[Input or output],"input")</f>
        <v>4</v>
      </c>
      <c r="F180" t="str">
        <f>VLOOKUP(Artifacts[[#This Row],[SOP]],SOP[#All],3,FALSE)</f>
        <v>Repeat</v>
      </c>
      <c r="G180" t="str">
        <f>VLOOKUP(Artifacts[[#This Row],[SOP]],SOP[#All],2,FALSE)</f>
        <v>Utvärdera leveransresultat</v>
      </c>
    </row>
    <row r="181" spans="1:7" hidden="1" x14ac:dyDescent="0.2">
      <c r="A181" t="s">
        <v>83</v>
      </c>
      <c r="B181" t="s">
        <v>111</v>
      </c>
      <c r="C181" t="s">
        <v>6</v>
      </c>
      <c r="D181" t="s">
        <v>186</v>
      </c>
      <c r="E181">
        <f>COUNTIFS(Artifacts[SOP],B180,Artifacts[Input or output],"input")</f>
        <v>4</v>
      </c>
      <c r="F181" t="str">
        <f>VLOOKUP(Artifacts[[#This Row],[SOP]],SOP[#All],3,FALSE)</f>
        <v>Repeat</v>
      </c>
      <c r="G181" t="str">
        <f>VLOOKUP(Artifacts[[#This Row],[SOP]],SOP[#All],2,FALSE)</f>
        <v>Utvärdera process &amp; arbetssätt</v>
      </c>
    </row>
    <row r="182" spans="1:7" hidden="1" x14ac:dyDescent="0.2">
      <c r="A182" t="s">
        <v>112</v>
      </c>
      <c r="B182" t="s">
        <v>111</v>
      </c>
      <c r="C182" t="s">
        <v>6</v>
      </c>
      <c r="D182" t="s">
        <v>186</v>
      </c>
      <c r="E182">
        <f>COUNTIFS(Artifacts[SOP],B181,Artifacts[Input or output],"input")</f>
        <v>3</v>
      </c>
      <c r="F182" t="str">
        <f>VLOOKUP(Artifacts[[#This Row],[SOP]],SOP[#All],3,FALSE)</f>
        <v>Repeat</v>
      </c>
      <c r="G182" t="str">
        <f>VLOOKUP(Artifacts[[#This Row],[SOP]],SOP[#All],2,FALSE)</f>
        <v>Utvärdera process &amp; arbetssätt</v>
      </c>
    </row>
    <row r="183" spans="1:7" hidden="1" x14ac:dyDescent="0.2">
      <c r="A183" t="s">
        <v>109</v>
      </c>
      <c r="B183" t="s">
        <v>111</v>
      </c>
      <c r="C183" t="s">
        <v>6</v>
      </c>
      <c r="D183" t="s">
        <v>186</v>
      </c>
      <c r="E183">
        <f>COUNTIFS(Artifacts[SOP],B182,Artifacts[Input or output],"input")</f>
        <v>3</v>
      </c>
      <c r="F183" t="str">
        <f>VLOOKUP(Artifacts[[#This Row],[SOP]],SOP[#All],3,FALSE)</f>
        <v>Repeat</v>
      </c>
      <c r="G183" t="str">
        <f>VLOOKUP(Artifacts[[#This Row],[SOP]],SOP[#All],2,FALSE)</f>
        <v>Utvärdera process &amp; arbetssätt</v>
      </c>
    </row>
    <row r="184" spans="1:7" hidden="1" x14ac:dyDescent="0.2">
      <c r="A184" t="s">
        <v>107</v>
      </c>
      <c r="B184" t="s">
        <v>111</v>
      </c>
      <c r="C184" t="s">
        <v>8</v>
      </c>
      <c r="D184" t="s">
        <v>80</v>
      </c>
      <c r="E184">
        <f>COUNTIFS(Artifacts[SOP],B183,Artifacts[Input or output],"input")</f>
        <v>3</v>
      </c>
      <c r="F184" t="str">
        <f>VLOOKUP(Artifacts[[#This Row],[SOP]],SOP[#All],3,FALSE)</f>
        <v>Repeat</v>
      </c>
      <c r="G184" t="str">
        <f>VLOOKUP(Artifacts[[#This Row],[SOP]],SOP[#All],2,FALSE)</f>
        <v>Utvärdera process &amp; arbetssätt</v>
      </c>
    </row>
    <row r="185" spans="1:7" hidden="1" x14ac:dyDescent="0.2">
      <c r="A185" t="s">
        <v>113</v>
      </c>
      <c r="B185" t="s">
        <v>111</v>
      </c>
      <c r="C185" t="s">
        <v>8</v>
      </c>
      <c r="D185" t="s">
        <v>80</v>
      </c>
      <c r="E185">
        <f>COUNTIFS(Artifacts[SOP],B184,Artifacts[Input or output],"input")</f>
        <v>3</v>
      </c>
      <c r="F185" t="str">
        <f>VLOOKUP(Artifacts[[#This Row],[SOP]],SOP[#All],3,FALSE)</f>
        <v>Repeat</v>
      </c>
      <c r="G185" t="str">
        <f>VLOOKUP(Artifacts[[#This Row],[SOP]],SOP[#All],2,FALSE)</f>
        <v>Utvärdera process &amp; arbetssätt</v>
      </c>
    </row>
    <row r="186" spans="1:7" hidden="1" x14ac:dyDescent="0.2">
      <c r="A186" t="s">
        <v>109</v>
      </c>
      <c r="B186" t="s">
        <v>114</v>
      </c>
      <c r="C186" t="s">
        <v>6</v>
      </c>
      <c r="D186" t="s">
        <v>186</v>
      </c>
      <c r="E186">
        <f>COUNTIFS(Artifacts[SOP],B185,Artifacts[Input or output],"input")</f>
        <v>3</v>
      </c>
      <c r="F186" t="str">
        <f>VLOOKUP(Artifacts[[#This Row],[SOP]],SOP[#All],3,FALSE)</f>
        <v>Repeat</v>
      </c>
      <c r="G186" t="str">
        <f>VLOOKUP(Artifacts[[#This Row],[SOP]],SOP[#All],2,FALSE)</f>
        <v>Samla input för uppdaterad kravställning</v>
      </c>
    </row>
    <row r="187" spans="1:7" hidden="1" x14ac:dyDescent="0.2">
      <c r="A187" t="s">
        <v>107</v>
      </c>
      <c r="B187" t="s">
        <v>114</v>
      </c>
      <c r="C187" t="s">
        <v>6</v>
      </c>
      <c r="D187" t="s">
        <v>186</v>
      </c>
      <c r="E187">
        <f>COUNTIFS(Artifacts[SOP],B186,Artifacts[Input or output],"input")</f>
        <v>6</v>
      </c>
      <c r="F187" t="str">
        <f>VLOOKUP(Artifacts[[#This Row],[SOP]],SOP[#All],3,FALSE)</f>
        <v>Repeat</v>
      </c>
      <c r="G187" t="str">
        <f>VLOOKUP(Artifacts[[#This Row],[SOP]],SOP[#All],2,FALSE)</f>
        <v>Samla input för uppdaterad kravställning</v>
      </c>
    </row>
    <row r="188" spans="1:7" hidden="1" x14ac:dyDescent="0.2">
      <c r="A188" t="s">
        <v>74</v>
      </c>
      <c r="B188" t="s">
        <v>114</v>
      </c>
      <c r="C188" t="s">
        <v>6</v>
      </c>
      <c r="D188" t="s">
        <v>186</v>
      </c>
      <c r="E188">
        <f>COUNTIFS(Artifacts[SOP],B187,Artifacts[Input or output],"input")</f>
        <v>6</v>
      </c>
      <c r="F188" t="str">
        <f>VLOOKUP(Artifacts[[#This Row],[SOP]],SOP[#All],3,FALSE)</f>
        <v>Repeat</v>
      </c>
      <c r="G188" t="str">
        <f>VLOOKUP(Artifacts[[#This Row],[SOP]],SOP[#All],2,FALSE)</f>
        <v>Samla input för uppdaterad kravställning</v>
      </c>
    </row>
    <row r="189" spans="1:7" hidden="1" x14ac:dyDescent="0.2">
      <c r="A189" t="s">
        <v>106</v>
      </c>
      <c r="B189" t="s">
        <v>114</v>
      </c>
      <c r="C189" t="s">
        <v>6</v>
      </c>
      <c r="D189" t="s">
        <v>186</v>
      </c>
      <c r="E189">
        <f>COUNTIFS(Artifacts[SOP],B188,Artifacts[Input or output],"input")</f>
        <v>6</v>
      </c>
      <c r="F189" t="str">
        <f>VLOOKUP(Artifacts[[#This Row],[SOP]],SOP[#All],3,FALSE)</f>
        <v>Repeat</v>
      </c>
      <c r="G189" t="str">
        <f>VLOOKUP(Artifacts[[#This Row],[SOP]],SOP[#All],2,FALSE)</f>
        <v>Samla input för uppdaterad kravställning</v>
      </c>
    </row>
    <row r="190" spans="1:7" hidden="1" x14ac:dyDescent="0.2">
      <c r="A190" t="s">
        <v>4</v>
      </c>
      <c r="B190" t="s">
        <v>114</v>
      </c>
      <c r="C190" t="s">
        <v>6</v>
      </c>
      <c r="D190" t="s">
        <v>186</v>
      </c>
      <c r="E190">
        <f>COUNTIFS(Artifacts[SOP],B189,Artifacts[Input or output],"input")</f>
        <v>6</v>
      </c>
      <c r="F190" t="str">
        <f>VLOOKUP(Artifacts[[#This Row],[SOP]],SOP[#All],3,FALSE)</f>
        <v>Repeat</v>
      </c>
      <c r="G190" t="str">
        <f>VLOOKUP(Artifacts[[#This Row],[SOP]],SOP[#All],2,FALSE)</f>
        <v>Samla input för uppdaterad kravställning</v>
      </c>
    </row>
    <row r="191" spans="1:7" hidden="1" x14ac:dyDescent="0.2">
      <c r="A191" t="s">
        <v>106</v>
      </c>
      <c r="B191" t="s">
        <v>114</v>
      </c>
      <c r="C191" t="s">
        <v>6</v>
      </c>
      <c r="D191" t="s">
        <v>186</v>
      </c>
      <c r="E191">
        <f>COUNTIFS(Artifacts[SOP],B190,Artifacts[Input or output],"input")</f>
        <v>6</v>
      </c>
      <c r="F191" t="str">
        <f>VLOOKUP(Artifacts[[#This Row],[SOP]],SOP[#All],3,FALSE)</f>
        <v>Repeat</v>
      </c>
      <c r="G191" t="str">
        <f>VLOOKUP(Artifacts[[#This Row],[SOP]],SOP[#All],2,FALSE)</f>
        <v>Samla input för uppdaterad kravställning</v>
      </c>
    </row>
    <row r="192" spans="1:7" hidden="1" x14ac:dyDescent="0.2">
      <c r="A192" t="s">
        <v>115</v>
      </c>
      <c r="B192" t="s">
        <v>114</v>
      </c>
      <c r="C192" t="s">
        <v>8</v>
      </c>
      <c r="D192" t="s">
        <v>9</v>
      </c>
      <c r="E192">
        <f>COUNTIFS(Artifacts[SOP],B191,Artifacts[Input or output],"input")</f>
        <v>6</v>
      </c>
      <c r="F192" t="str">
        <f>VLOOKUP(Artifacts[[#This Row],[SOP]],SOP[#All],3,FALSE)</f>
        <v>Repeat</v>
      </c>
      <c r="G192" t="str">
        <f>VLOOKUP(Artifacts[[#This Row],[SOP]],SOP[#All],2,FALSE)</f>
        <v>Samla input för uppdaterad kravställning</v>
      </c>
    </row>
    <row r="193" spans="1:7" hidden="1" x14ac:dyDescent="0.2">
      <c r="A193" t="s">
        <v>112</v>
      </c>
      <c r="B193" t="s">
        <v>116</v>
      </c>
      <c r="C193" t="s">
        <v>6</v>
      </c>
      <c r="D193" t="s">
        <v>186</v>
      </c>
      <c r="E193">
        <f>COUNTIFS(Artifacts[SOP],B192,Artifacts[Input or output],"input")</f>
        <v>6</v>
      </c>
      <c r="F193" t="str">
        <f>VLOOKUP(Artifacts[[#This Row],[SOP]],SOP[#All],3,FALSE)</f>
        <v>Repeat</v>
      </c>
      <c r="G193" t="str">
        <f>VLOOKUP(Artifacts[[#This Row],[SOP]],SOP[#All],2,FALSE)</f>
        <v>Identifiera arkitekturella lärdomar</v>
      </c>
    </row>
    <row r="194" spans="1:7" hidden="1" x14ac:dyDescent="0.2">
      <c r="A194" t="s">
        <v>112</v>
      </c>
      <c r="B194" t="s">
        <v>116</v>
      </c>
      <c r="C194" t="s">
        <v>6</v>
      </c>
      <c r="D194" t="s">
        <v>186</v>
      </c>
      <c r="E194">
        <f>COUNTIFS(Artifacts[SOP],B193,Artifacts[Input or output],"input")</f>
        <v>3</v>
      </c>
      <c r="F194" t="str">
        <f>VLOOKUP(Artifacts[[#This Row],[SOP]],SOP[#All],3,FALSE)</f>
        <v>Repeat</v>
      </c>
      <c r="G194" t="str">
        <f>VLOOKUP(Artifacts[[#This Row],[SOP]],SOP[#All],2,FALSE)</f>
        <v>Identifiera arkitekturella lärdomar</v>
      </c>
    </row>
    <row r="195" spans="1:7" hidden="1" x14ac:dyDescent="0.2">
      <c r="A195" t="s">
        <v>109</v>
      </c>
      <c r="B195" t="s">
        <v>116</v>
      </c>
      <c r="C195" t="s">
        <v>6</v>
      </c>
      <c r="D195" t="s">
        <v>186</v>
      </c>
      <c r="E195">
        <f>COUNTIFS(Artifacts[SOP],B194,Artifacts[Input or output],"input")</f>
        <v>3</v>
      </c>
      <c r="F195" t="str">
        <f>VLOOKUP(Artifacts[[#This Row],[SOP]],SOP[#All],3,FALSE)</f>
        <v>Repeat</v>
      </c>
      <c r="G195" t="str">
        <f>VLOOKUP(Artifacts[[#This Row],[SOP]],SOP[#All],2,FALSE)</f>
        <v>Identifiera arkitekturella lärdomar</v>
      </c>
    </row>
    <row r="196" spans="1:7" hidden="1" x14ac:dyDescent="0.2">
      <c r="A196" t="s">
        <v>75</v>
      </c>
      <c r="B196" t="s">
        <v>116</v>
      </c>
      <c r="C196" t="s">
        <v>8</v>
      </c>
      <c r="D196" t="s">
        <v>37</v>
      </c>
      <c r="E196">
        <f>COUNTIFS(Artifacts[SOP],B195,Artifacts[Input or output],"input")</f>
        <v>3</v>
      </c>
      <c r="F196" t="str">
        <f>VLOOKUP(Artifacts[[#This Row],[SOP]],SOP[#All],3,FALSE)</f>
        <v>Repeat</v>
      </c>
      <c r="G196" t="str">
        <f>VLOOKUP(Artifacts[[#This Row],[SOP]],SOP[#All],2,FALSE)</f>
        <v>Identifiera arkitekturella lärdomar</v>
      </c>
    </row>
    <row r="197" spans="1:7" hidden="1" x14ac:dyDescent="0.2">
      <c r="A197" t="s">
        <v>117</v>
      </c>
      <c r="B197" t="s">
        <v>116</v>
      </c>
      <c r="C197" t="s">
        <v>8</v>
      </c>
      <c r="D197" t="s">
        <v>37</v>
      </c>
      <c r="E197">
        <f>COUNTIFS(Artifacts[SOP],B196,Artifacts[Input or output],"input")</f>
        <v>3</v>
      </c>
      <c r="F197" t="str">
        <f>VLOOKUP(Artifacts[[#This Row],[SOP]],SOP[#All],3,FALSE)</f>
        <v>Repeat</v>
      </c>
      <c r="G197" t="str">
        <f>VLOOKUP(Artifacts[[#This Row],[SOP]],SOP[#All],2,FALSE)</f>
        <v>Identifiera arkitekturella lärdomar</v>
      </c>
    </row>
    <row r="198" spans="1:7" hidden="1" x14ac:dyDescent="0.2">
      <c r="A198" t="s">
        <v>75</v>
      </c>
      <c r="B198" t="s">
        <v>118</v>
      </c>
      <c r="C198" t="s">
        <v>6</v>
      </c>
      <c r="D198" t="s">
        <v>186</v>
      </c>
      <c r="E198">
        <f>COUNTIFS(Artifacts[SOP],B197,Artifacts[Input or output],"input")</f>
        <v>3</v>
      </c>
      <c r="F198" t="str">
        <f>VLOOKUP(Artifacts[[#This Row],[SOP]],SOP[#All],3,FALSE)</f>
        <v>Repeat</v>
      </c>
      <c r="G198" t="str">
        <f>VLOOKUP(Artifacts[[#This Row],[SOP]],SOP[#All],2,FALSE)</f>
        <v>Förbereda nästa roadmap-iteration</v>
      </c>
    </row>
    <row r="199" spans="1:7" hidden="1" x14ac:dyDescent="0.2">
      <c r="A199" t="s">
        <v>16</v>
      </c>
      <c r="B199" t="s">
        <v>118</v>
      </c>
      <c r="C199" t="s">
        <v>6</v>
      </c>
      <c r="D199" t="s">
        <v>186</v>
      </c>
      <c r="E199">
        <f>COUNTIFS(Artifacts[SOP],B198,Artifacts[Input or output],"input")</f>
        <v>4</v>
      </c>
      <c r="F199" t="str">
        <f>VLOOKUP(Artifacts[[#This Row],[SOP]],SOP[#All],3,FALSE)</f>
        <v>Repeat</v>
      </c>
      <c r="G199" t="str">
        <f>VLOOKUP(Artifacts[[#This Row],[SOP]],SOP[#All],2,FALSE)</f>
        <v>Förbereda nästa roadmap-iteration</v>
      </c>
    </row>
    <row r="200" spans="1:7" hidden="1" x14ac:dyDescent="0.2">
      <c r="A200" t="s">
        <v>30</v>
      </c>
      <c r="B200" t="s">
        <v>118</v>
      </c>
      <c r="C200" t="s">
        <v>6</v>
      </c>
      <c r="D200" t="s">
        <v>186</v>
      </c>
      <c r="E200">
        <f>COUNTIFS(Artifacts[SOP],B199,Artifacts[Input or output],"input")</f>
        <v>4</v>
      </c>
      <c r="F200" t="str">
        <f>VLOOKUP(Artifacts[[#This Row],[SOP]],SOP[#All],3,FALSE)</f>
        <v>Repeat</v>
      </c>
      <c r="G200" t="str">
        <f>VLOOKUP(Artifacts[[#This Row],[SOP]],SOP[#All],2,FALSE)</f>
        <v>Förbereda nästa roadmap-iteration</v>
      </c>
    </row>
    <row r="201" spans="1:7" hidden="1" x14ac:dyDescent="0.2">
      <c r="A201" t="s">
        <v>31</v>
      </c>
      <c r="B201" t="s">
        <v>118</v>
      </c>
      <c r="C201" t="s">
        <v>6</v>
      </c>
      <c r="D201" t="s">
        <v>186</v>
      </c>
      <c r="E201">
        <f>COUNTIFS(Artifacts[SOP],B200,Artifacts[Input or output],"input")</f>
        <v>4</v>
      </c>
      <c r="F201" t="str">
        <f>VLOOKUP(Artifacts[[#This Row],[SOP]],SOP[#All],3,FALSE)</f>
        <v>Repeat</v>
      </c>
      <c r="G201" t="str">
        <f>VLOOKUP(Artifacts[[#This Row],[SOP]],SOP[#All],2,FALSE)</f>
        <v>Förbereda nästa roadmap-iteration</v>
      </c>
    </row>
    <row r="202" spans="1:7" hidden="1" x14ac:dyDescent="0.2">
      <c r="A202" t="s">
        <v>119</v>
      </c>
      <c r="B202" t="s">
        <v>118</v>
      </c>
      <c r="C202" t="s">
        <v>8</v>
      </c>
      <c r="D202" t="s">
        <v>9</v>
      </c>
      <c r="E202">
        <f>COUNTIFS(Artifacts[SOP],B201,Artifacts[Input or output],"input")</f>
        <v>4</v>
      </c>
      <c r="F202" t="str">
        <f>VLOOKUP(Artifacts[[#This Row],[SOP]],SOP[#All],3,FALSE)</f>
        <v>Repeat</v>
      </c>
      <c r="G202" t="str">
        <f>VLOOKUP(Artifacts[[#This Row],[SOP]],SOP[#All],2,FALSE)</f>
        <v>Förbereda nästa roadmap-iteration</v>
      </c>
    </row>
    <row r="203" spans="1:7" hidden="1" x14ac:dyDescent="0.2">
      <c r="A203" t="s">
        <v>120</v>
      </c>
      <c r="B203" t="s">
        <v>118</v>
      </c>
      <c r="C203" t="s">
        <v>8</v>
      </c>
      <c r="D203" t="s">
        <v>9</v>
      </c>
      <c r="E203">
        <f>COUNTIFS(Artifacts[SOP],B202,Artifacts[Input or output],"input")</f>
        <v>4</v>
      </c>
      <c r="F203" t="str">
        <f>VLOOKUP(Artifacts[[#This Row],[SOP]],SOP[#All],3,FALSE)</f>
        <v>Repeat</v>
      </c>
      <c r="G203" t="str">
        <f>VLOOKUP(Artifacts[[#This Row],[SOP]],SOP[#All],2,FALSE)</f>
        <v>Förbereda nästa roadmap-iteration</v>
      </c>
    </row>
    <row r="204" spans="1:7" hidden="1" x14ac:dyDescent="0.2">
      <c r="A204" t="s">
        <v>75</v>
      </c>
      <c r="B204" t="s">
        <v>121</v>
      </c>
      <c r="C204" t="s">
        <v>6</v>
      </c>
      <c r="D204" t="s">
        <v>186</v>
      </c>
      <c r="E204">
        <f>COUNTIFS(Artifacts[SOP],B203,Artifacts[Input or output],"input")</f>
        <v>4</v>
      </c>
      <c r="F204" t="str">
        <f>VLOOKUP(Artifacts[[#This Row],[SOP]],SOP[#All],3,FALSE)</f>
        <v>Repeat</v>
      </c>
      <c r="G204" t="str">
        <f>VLOOKUP(Artifacts[[#This Row],[SOP]],SOP[#All],2,FALSE)</f>
        <v>Förbereda nästa cykel</v>
      </c>
    </row>
    <row r="205" spans="1:7" hidden="1" x14ac:dyDescent="0.2">
      <c r="A205" t="s">
        <v>119</v>
      </c>
      <c r="B205" t="s">
        <v>121</v>
      </c>
      <c r="C205" t="s">
        <v>6</v>
      </c>
      <c r="D205" t="s">
        <v>186</v>
      </c>
      <c r="E205">
        <f>COUNTIFS(Artifacts[SOP],B204,Artifacts[Input or output],"input")</f>
        <v>3</v>
      </c>
      <c r="F205" t="str">
        <f>VLOOKUP(Artifacts[[#This Row],[SOP]],SOP[#All],3,FALSE)</f>
        <v>Repeat</v>
      </c>
      <c r="G205" t="str">
        <f>VLOOKUP(Artifacts[[#This Row],[SOP]],SOP[#All],2,FALSE)</f>
        <v>Förbereda nästa cykel</v>
      </c>
    </row>
    <row r="206" spans="1:7" hidden="1" x14ac:dyDescent="0.2">
      <c r="A206" t="s">
        <v>106</v>
      </c>
      <c r="B206" t="s">
        <v>121</v>
      </c>
      <c r="C206" t="s">
        <v>6</v>
      </c>
      <c r="D206" t="s">
        <v>186</v>
      </c>
      <c r="E206">
        <f>COUNTIFS(Artifacts[SOP],B205,Artifacts[Input or output],"input")</f>
        <v>3</v>
      </c>
      <c r="F206" t="str">
        <f>VLOOKUP(Artifacts[[#This Row],[SOP]],SOP[#All],3,FALSE)</f>
        <v>Repeat</v>
      </c>
      <c r="G206" t="str">
        <f>VLOOKUP(Artifacts[[#This Row],[SOP]],SOP[#All],2,FALSE)</f>
        <v>Förbereda nästa cykel</v>
      </c>
    </row>
    <row r="207" spans="1:7" hidden="1" x14ac:dyDescent="0.2">
      <c r="A207" t="s">
        <v>115</v>
      </c>
      <c r="B207" t="s">
        <v>121</v>
      </c>
      <c r="C207" t="s">
        <v>8</v>
      </c>
      <c r="D207" t="s">
        <v>9</v>
      </c>
      <c r="E207">
        <f>COUNTIFS(Artifacts[SOP],B206,Artifacts[Input or output],"input")</f>
        <v>3</v>
      </c>
      <c r="F207" t="str">
        <f>VLOOKUP(Artifacts[[#This Row],[SOP]],SOP[#All],3,FALSE)</f>
        <v>Repeat</v>
      </c>
      <c r="G207" t="str">
        <f>VLOOKUP(Artifacts[[#This Row],[SOP]],SOP[#All],2,FALSE)</f>
        <v>Förbereda nästa cykel</v>
      </c>
    </row>
    <row r="208" spans="1:7" hidden="1" x14ac:dyDescent="0.2">
      <c r="A208" t="s">
        <v>122</v>
      </c>
      <c r="B208" t="s">
        <v>121</v>
      </c>
      <c r="C208" t="s">
        <v>8</v>
      </c>
      <c r="D208" t="s">
        <v>9</v>
      </c>
      <c r="E208">
        <f>COUNTIFS(Artifacts[SOP],B207,Artifacts[Input or output],"input")</f>
        <v>3</v>
      </c>
      <c r="F208" t="str">
        <f>VLOOKUP(Artifacts[[#This Row],[SOP]],SOP[#All],3,FALSE)</f>
        <v>Repeat</v>
      </c>
      <c r="G208" t="str">
        <f>VLOOKUP(Artifacts[[#This Row],[SOP]],SOP[#All],2,FALSE)</f>
        <v>Förbereda nästa cykel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351D-5831-4DFE-BA4A-80FF37E38142}">
  <dimension ref="A1:B21"/>
  <sheetViews>
    <sheetView workbookViewId="0">
      <selection activeCell="B2" sqref="B2"/>
    </sheetView>
  </sheetViews>
  <sheetFormatPr defaultRowHeight="15" x14ac:dyDescent="0.2"/>
  <cols>
    <col min="1" max="1" width="23" bestFit="1" customWidth="1"/>
    <col min="2" max="2" width="14.33203125" bestFit="1" customWidth="1"/>
  </cols>
  <sheetData>
    <row r="1" spans="1:2" x14ac:dyDescent="0.2">
      <c r="A1" s="1" t="s">
        <v>2</v>
      </c>
      <c r="B1" t="s">
        <v>8</v>
      </c>
    </row>
    <row r="2" spans="1:2" x14ac:dyDescent="0.2">
      <c r="A2" s="1" t="s">
        <v>1</v>
      </c>
      <c r="B2" t="s">
        <v>135</v>
      </c>
    </row>
    <row r="4" spans="1:2" x14ac:dyDescent="0.2">
      <c r="A4" s="1" t="s">
        <v>134</v>
      </c>
    </row>
    <row r="5" spans="1:2" x14ac:dyDescent="0.2">
      <c r="A5" s="2" t="s">
        <v>9</v>
      </c>
    </row>
    <row r="6" spans="1:2" x14ac:dyDescent="0.2">
      <c r="A6" s="3" t="s">
        <v>21</v>
      </c>
    </row>
    <row r="7" spans="1:2" x14ac:dyDescent="0.2">
      <c r="A7" s="3" t="s">
        <v>16</v>
      </c>
    </row>
    <row r="8" spans="1:2" x14ac:dyDescent="0.2">
      <c r="A8" s="3" t="s">
        <v>20</v>
      </c>
    </row>
    <row r="9" spans="1:2" x14ac:dyDescent="0.2">
      <c r="A9" s="3" t="s">
        <v>13</v>
      </c>
    </row>
    <row r="10" spans="1:2" x14ac:dyDescent="0.2">
      <c r="A10" s="3" t="s">
        <v>27</v>
      </c>
    </row>
    <row r="11" spans="1:2" x14ac:dyDescent="0.2">
      <c r="A11" s="3" t="s">
        <v>33</v>
      </c>
    </row>
    <row r="12" spans="1:2" x14ac:dyDescent="0.2">
      <c r="A12" s="3" t="s">
        <v>31</v>
      </c>
    </row>
    <row r="13" spans="1:2" x14ac:dyDescent="0.2">
      <c r="A13" s="3" t="s">
        <v>12</v>
      </c>
    </row>
    <row r="14" spans="1:2" x14ac:dyDescent="0.2">
      <c r="A14" s="3" t="s">
        <v>15</v>
      </c>
    </row>
    <row r="15" spans="1:2" x14ac:dyDescent="0.2">
      <c r="A15" s="3" t="s">
        <v>26</v>
      </c>
    </row>
    <row r="16" spans="1:2" x14ac:dyDescent="0.2">
      <c r="A16" s="3" t="s">
        <v>34</v>
      </c>
    </row>
    <row r="17" spans="1:1" x14ac:dyDescent="0.2">
      <c r="A17" s="3" t="s">
        <v>7</v>
      </c>
    </row>
    <row r="18" spans="1:1" x14ac:dyDescent="0.2">
      <c r="A18" s="2" t="s">
        <v>24</v>
      </c>
    </row>
    <row r="19" spans="1:1" x14ac:dyDescent="0.2">
      <c r="A19" s="3" t="s">
        <v>23</v>
      </c>
    </row>
    <row r="20" spans="1:1" x14ac:dyDescent="0.2">
      <c r="A20" s="3" t="s">
        <v>4</v>
      </c>
    </row>
    <row r="21" spans="1:1" x14ac:dyDescent="0.2">
      <c r="A21" s="2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182C5-86D4-482A-8EDE-5D226BC058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SOP</vt:lpstr>
      <vt:lpstr>Roles</vt:lpstr>
      <vt:lpstr>Artifacts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Nisses-Gagnér, Rickard</dc:creator>
  <cp:lastModifiedBy>Nisses-Gagnér, Rickard</cp:lastModifiedBy>
  <dcterms:created xsi:type="dcterms:W3CDTF">2021-08-24T12:32:06Z</dcterms:created>
  <dcterms:modified xsi:type="dcterms:W3CDTF">2026-03-27T06:35:07Z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79ec1e-7734-4071-a4b9-9f091c05fa90_Enabled">
    <vt:lpwstr>true</vt:lpwstr>
  </property>
  <property fmtid="{D5CDD505-2E9C-101B-9397-08002B2CF9AE}" pid="3" name="MSIP_Label_6379ec1e-7734-4071-a4b9-9f091c05fa90_SetDate">
    <vt:lpwstr>2022-02-24T15:11:04Z</vt:lpwstr>
  </property>
  <property fmtid="{D5CDD505-2E9C-101B-9397-08002B2CF9AE}" pid="4" name="MSIP_Label_6379ec1e-7734-4071-a4b9-9f091c05fa90_Method">
    <vt:lpwstr>Standard</vt:lpwstr>
  </property>
  <property fmtid="{D5CDD505-2E9C-101B-9397-08002B2CF9AE}" pid="5" name="MSIP_Label_6379ec1e-7734-4071-a4b9-9f091c05fa90_Name">
    <vt:lpwstr>General-No-Marking</vt:lpwstr>
  </property>
  <property fmtid="{D5CDD505-2E9C-101B-9397-08002B2CF9AE}" pid="6" name="MSIP_Label_6379ec1e-7734-4071-a4b9-9f091c05fa90_SiteId">
    <vt:lpwstr>33dab507-5210-4075-805b-f2717d8cfa74</vt:lpwstr>
  </property>
  <property fmtid="{D5CDD505-2E9C-101B-9397-08002B2CF9AE}" pid="7" name="MSIP_Label_6379ec1e-7734-4071-a4b9-9f091c05fa90_ActionId">
    <vt:lpwstr>d8ca98a2-7cee-4e41-8664-f31b8d4e1aed</vt:lpwstr>
  </property>
  <property fmtid="{D5CDD505-2E9C-101B-9397-08002B2CF9AE}" pid="8" name="MSIP_Label_6379ec1e-7734-4071-a4b9-9f091c05fa90_ContentBits">
    <vt:lpwstr>0</vt:lpwstr>
  </property>
</Properties>
</file>